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f9311517024d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 y resumen" sheetId="1" r:id="Rb7448020320a4ddd"/>
    <x:sheet xmlns:r="http://schemas.openxmlformats.org/officeDocument/2006/relationships" name="Acceso y sesión" sheetId="2" r:id="Re4e55b60a1cd47bf"/>
    <x:sheet xmlns:r="http://schemas.openxmlformats.org/officeDocument/2006/relationships" name="Gestión de remates" sheetId="3" r:id="R47f58692ad794ee8"/>
    <x:sheet xmlns:r="http://schemas.openxmlformats.org/officeDocument/2006/relationships" name="Catálogo y lotes" sheetId="4" r:id="R8c687f97fce14b67"/>
    <x:sheet xmlns:r="http://schemas.openxmlformats.org/officeDocument/2006/relationships" name="Web pública" sheetId="5" r:id="R37f18cfef2aa4a65"/>
    <x:sheet xmlns:r="http://schemas.openxmlformats.org/officeDocument/2006/relationships" name="Contenido y contacto" sheetId="6" r:id="R717e688697164c8f"/>
    <x:sheet xmlns:r="http://schemas.openxmlformats.org/officeDocument/2006/relationships" name="Mobile y accesibilidad" sheetId="7" r:id="R99ee9df976c84736"/>
    <x:sheet xmlns:r="http://schemas.openxmlformats.org/officeDocument/2006/relationships" name="Datos de prueba" sheetId="8" r:id="Rda806432eae445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dd/mm/yyyy"/>
  </x:numFmts>
  <x:fonts count="13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theme="1"/>
      <x:name val="Aptos"/>
    </x:font>
    <x:font>
      <x:sz val="10"/>
      <x:color theme="1"/>
      <x:name val="Aptos"/>
    </x:font>
    <x:font>
      <x:b/>
      <x:sz val="10"/>
      <x:color rgb="FFFFFFFF"/>
      <x:name val="Aptos"/>
    </x:font>
    <x:font>
      <x:b/>
      <x:sz val="10"/>
      <x:color theme="1"/>
      <x:name val="Aptos"/>
    </x:font>
    <x:font>
      <x:b/>
      <x:sz val="10"/>
      <x:color rgb="FF125334"/>
      <x:name val="Aptos"/>
    </x:font>
    <x:font>
      <x:b/>
      <x:sz val="11"/>
      <x:color rgb="FFFFFFFF"/>
      <x:name val="Calibri"/>
    </x:font>
    <x:font>
      <x:b/>
      <x:sz val="18"/>
      <x:color rgb="FFFFFFFF"/>
      <x:name val="Calibri"/>
    </x:font>
    <x:font>
      <x:b/>
      <x:sz val="20"/>
      <x:color rgb="FFFFFFFF"/>
      <x:name val="Aptos"/>
    </x:font>
    <x:font>
      <x:b/>
      <x:sz val="14"/>
      <x:color theme="1"/>
      <x:name val="Aptos"/>
    </x:font>
    <x:font>
      <x:b/>
      <x:sz val="11"/>
      <x:color rgb="FFFFFFFF"/>
      <x:name val="Aptos"/>
    </x:font>
    <x:font>
      <x:b/>
      <x:sz val="11"/>
      <x:color theme="1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25334"/>
      </x:patternFill>
    </x:fill>
    <x:fill>
      <x:patternFill patternType="solid">
        <x:fgColor rgb="FFEBF4ED"/>
      </x:patternFill>
    </x:fill>
    <x:fill>
      <x:patternFill patternType="solid">
        <x:fgColor rgb="FFDBEBDF"/>
      </x:patternFill>
    </x:fill>
    <x:fill>
      <x:patternFill patternType="solid">
        <x:fgColor rgb="FFF7FAF7"/>
      </x:patternFill>
    </x:fill>
  </x:fills>
  <x:borders count="11">
    <x:border/>
    <x:border>
      <x:left style="thin">
        <x:color rgb="FFDAE2DC"/>
      </x:left>
      <x:right style="thin">
        <x:color rgb="FFDAE2DC"/>
      </x:right>
      <x:top style="thin">
        <x:color rgb="FFDAE2DC"/>
      </x:top>
      <x:bottom style="thin">
        <x:color rgb="FFDAE2DC"/>
      </x:bottom>
    </x:border>
    <x:border>
      <x:right style="thin">
        <x:color rgb="FFDAE2DC"/>
      </x:right>
      <x:top style="thin">
        <x:color rgb="FFDAE2DC"/>
      </x:top>
      <x:bottom style="thin">
        <x:color rgb="FFDAE2DC"/>
      </x:bottom>
    </x:border>
    <x:border>
      <x:left style="thin">
        <x:color rgb="FFDAE2DC"/>
      </x:left>
      <x:top style="thin">
        <x:color rgb="FFDAE2DC"/>
      </x:top>
      <x:bottom style="thin">
        <x:color rgb="FFDAE2DC"/>
      </x:bottom>
    </x:border>
    <x:border>
      <x:right style="thin">
        <x:color rgb="FFDAE2DC"/>
      </x:right>
      <x:bottom style="thin">
        <x:color rgb="FFDAE2DC"/>
      </x:bottom>
    </x:border>
    <x:border>
      <x:left style="thin">
        <x:color rgb="FFDAE2DC"/>
      </x:left>
      <x:right style="thin">
        <x:color rgb="FFDAE2DC"/>
      </x:right>
      <x:bottom style="thin">
        <x:color rgb="FFDAE2DC"/>
      </x:bottom>
    </x:border>
    <x:border>
      <x:left style="thin">
        <x:color rgb="FFDAE2DC"/>
      </x:left>
      <x:bottom style="thin">
        <x:color rgb="FFDAE2DC"/>
      </x:bottom>
    </x:border>
    <x:border>
      <x:right style="thin">
        <x:color rgb="FFDAE2DC"/>
      </x:right>
      <x:top style="thin">
        <x:color rgb="FFDAE2DC"/>
      </x:top>
    </x:border>
    <x:border>
      <x:left style="thin">
        <x:color rgb="FFDAE2DC"/>
      </x:left>
      <x:right style="thin">
        <x:color rgb="FFDAE2DC"/>
      </x:right>
      <x:top style="thin">
        <x:color rgb="FFDAE2DC"/>
      </x:top>
    </x:border>
    <x:border>
      <x:left style="thin">
        <x:color rgb="FFDAE2DC"/>
      </x:left>
      <x:top style="thin">
        <x:color rgb="FFDAE2DC"/>
      </x:top>
    </x:border>
    <x:border>
      <x:top style="thin">
        <x:color rgb="FFDAE2DC"/>
      </x:top>
      <x:bottom style="thin">
        <x:color rgb="FFDAE2DC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3" fillId="0" borderId="1" xfId="0" applyAlignment="1">
      <x:alignment vertical="top" wrapText="1"/>
    </x:xf>
    <x:xf numFmtId="164" fontId="3" fillId="0" borderId="1" xfId="0" applyAlignment="1">
      <x:alignment vertical="top" wrapText="1"/>
    </x:xf>
    <x:xf numFmtId="0" fontId="3" fillId="0" borderId="3" xfId="0" applyAlignment="1">
      <x:alignment vertical="top" wrapText="1"/>
    </x:xf>
    <x:xf numFmtId="0" fontId="4" fillId="2" borderId="4" xfId="0" applyAlignment="1">
      <x:alignment horizontal="center" vertical="top" wrapText="1"/>
    </x:xf>
    <x:xf numFmtId="0" fontId="4" fillId="2" borderId="5" xfId="0" applyAlignment="1">
      <x:alignment horizontal="center" vertical="top" wrapText="1"/>
    </x:xf>
    <x:xf numFmtId="0" fontId="4" fillId="2" borderId="6" xfId="0" applyAlignment="1">
      <x:alignment horizontal="center" vertical="top" wrapText="1"/>
    </x:xf>
    <x:xf numFmtId="0" fontId="3" fillId="0" borderId="8" xfId="0" applyAlignment="1">
      <x:alignment vertical="top" wrapText="1"/>
    </x:xf>
    <x:xf numFmtId="164" fontId="3" fillId="0" borderId="8" xfId="0" applyAlignment="1">
      <x:alignment vertical="top" wrapText="1"/>
    </x:xf>
    <x:xf numFmtId="0" fontId="3" fillId="0" borderId="9" xfId="0" applyAlignment="1">
      <x:alignment vertical="top" wrapText="1"/>
    </x:xf>
    <x:xf numFmtId="0" fontId="5" fillId="0" borderId="1" xfId="0" applyAlignment="1">
      <x:alignment horizontal="center" vertical="top" wrapText="1"/>
    </x:xf>
    <x:xf numFmtId="0" fontId="5" fillId="0" borderId="8" xfId="0" applyAlignment="1">
      <x:alignment horizontal="center" vertical="top" wrapText="1"/>
    </x:xf>
    <x:xf numFmtId="0" fontId="6" fillId="0" borderId="2" xfId="0" applyAlignment="1">
      <x:alignment vertical="top" wrapText="1"/>
    </x:xf>
    <x:xf numFmtId="0" fontId="6" fillId="0" borderId="7" xfId="0" applyAlignment="1">
      <x:alignment vertical="top" wrapText="1"/>
    </x:xf>
    <x:xf numFmtId="0" fontId="0" fillId="0" borderId="1" xfId="0" applyAlignment="1">
      <x:alignment vertical="top" wrapText="1"/>
    </x:xf>
    <x:xf numFmtId="0" fontId="1" fillId="3" borderId="2" xfId="0" applyAlignment="1">
      <x:alignment vertical="top" wrapText="1"/>
    </x:xf>
    <x:xf numFmtId="0" fontId="0" fillId="0" borderId="3" xfId="0" applyAlignment="1">
      <x:alignment vertical="top" wrapText="1"/>
    </x:xf>
    <x:xf numFmtId="0" fontId="7" fillId="2" borderId="4" xfId="0" applyAlignment="1">
      <x:alignment vertical="top" wrapText="1"/>
    </x:xf>
    <x:xf numFmtId="0" fontId="7" fillId="2" borderId="5" xfId="0" applyAlignment="1">
      <x:alignment vertical="top" wrapText="1"/>
    </x:xf>
    <x:xf numFmtId="0" fontId="7" fillId="2" borderId="6" xfId="0" applyAlignment="1">
      <x:alignment vertical="top" wrapText="1"/>
    </x:xf>
    <x:xf numFmtId="0" fontId="1" fillId="3" borderId="7" xfId="0" applyAlignment="1">
      <x:alignment vertical="top" wrapText="1"/>
    </x:xf>
    <x:xf numFmtId="0" fontId="0" fillId="0" borderId="8" xfId="0" applyAlignment="1">
      <x:alignment vertical="top" wrapText="1"/>
    </x:xf>
    <x:xf numFmtId="0" fontId="0" fillId="0" borderId="9" xfId="0" applyAlignment="1">
      <x:alignment vertical="top" wrapText="1"/>
    </x:xf>
    <x:xf numFmtId="0" fontId="2" fillId="0" borderId="0" xfId="0" applyAlignment="1">
      <x:alignment vertical="top"/>
    </x:xf>
    <x:xf numFmtId="0" fontId="11" fillId="2" borderId="1" xfId="0" applyAlignment="1">
      <x:alignment vertical="top"/>
    </x:xf>
    <x:xf numFmtId="0" fontId="2" fillId="0" borderId="1" xfId="0" applyAlignment="1">
      <x:alignment vertical="top"/>
    </x:xf>
    <x:xf numFmtId="0" fontId="12" fillId="0" borderId="1" xfId="0" applyAlignment="1">
      <x:alignment vertical="top"/>
    </x:xf>
    <x:xf numFmtId="0" fontId="8" fillId="2" borderId="0" xfId="0"/>
    <x:xf numFmtId="0" fontId="9" fillId="2" borderId="0" xfId="0" applyAlignment="1">
      <x:alignment vertical="top"/>
    </x:xf>
    <x:xf numFmtId="0" fontId="10" fillId="4" borderId="0" xfId="0" applyAlignment="1">
      <x:alignment vertical="top"/>
    </x:xf>
    <x:xf numFmtId="0" fontId="2" fillId="5" borderId="0" xfId="0" applyAlignment="1">
      <x:alignment vertical="top" wrapText="1"/>
    </x:xf>
    <x:xf numFmtId="0" fontId="12" fillId="4" borderId="0" xfId="0" applyAlignment="1">
      <x:alignment vertical="top"/>
    </x:xf>
    <x:xf numFmtId="22" fontId="0" fillId="0" borderId="1" xfId="0" applyAlignment="1">
      <x:alignment vertical="top" wrapText="1"/>
    </x:xf>
    <x:xf numFmtId="0" fontId="6" fillId="0" borderId="10" xfId="0" applyAlignment="1">
      <x:alignment vertical="top" wrapText="1"/>
    </x:xf>
    <x:xf numFmtId="0" fontId="5" fillId="0" borderId="2" xfId="0" applyAlignment="1">
      <x:alignment horizontal="center" vertical="top" wrapText="1"/>
    </x:xf>
    <x:xf numFmtId="0" fontId="3" fillId="0" borderId="2" xfId="0" applyAlignment="1">
      <x:alignment vertical="top" wrapText="1"/>
    </x:xf>
    <x:xf numFmtId="0" fontId="3" fillId="0" borderId="1" xfId="0" applyAlignment="1">
      <x:alignment vertical="top" wrapText="1"/>
    </x:xf>
    <x:xf numFmtId="164" fontId="3" fillId="0" borderId="1" xfId="0" applyAlignment="1">
      <x:alignment vertical="top" wrapText="1"/>
    </x:xf>
    <x:xf numFmtId="0" fontId="3" fillId="0" borderId="3" xfId="0" applyAlignment="1">
      <x:alignment vertical="top" wrapText="1"/>
    </x:xf>
    <x:xf numFmtId="164" fontId="3" fillId="0" borderId="1" xfId="0" applyNumberFormat="1" applyFont="1" applyFill="1" applyBorder="1" applyAlignment="1">
      <x:alignment vertical="top" wrapText="1"/>
    </x:xf>
    <x:xf numFmtId="164" fontId="3" fillId="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142"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1"/>
        <x:color theme="1"/>
        <x:name val="Calibri"/>
        <x:family val="2"/>
        <x:scheme val="minor"/>
      </x:font>
      <x:fill>
        <x:patternFill>
          <x:bgColor indexed="64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1"/>
        <x:color rgb="FFFFFFFF"/>
        <x:name val="Calibri"/>
        <x:family val="2"/>
        <x:scheme val="minor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f1cbb50a4043f4" /><Relationship Type="http://schemas.openxmlformats.org/officeDocument/2006/relationships/theme" Target="/xl/theme/theme1.xml" Id="R8cd1d255527f4612" /><Relationship Type="http://schemas.openxmlformats.org/officeDocument/2006/relationships/sharedStrings" Target="/xl/sharedStrings.xml" Id="R826ce8db5a7745ba" /><Relationship Type="http://schemas.openxmlformats.org/officeDocument/2006/relationships/worksheet" Target="/xl/worksheets/sheet1.xml" Id="Rb7448020320a4ddd" /><Relationship Type="http://schemas.openxmlformats.org/officeDocument/2006/relationships/worksheet" Target="/xl/worksheets/sheet2.xml" Id="Re4e55b60a1cd47bf" /><Relationship Type="http://schemas.openxmlformats.org/officeDocument/2006/relationships/worksheet" Target="/xl/worksheets/sheet3.xml" Id="R47f58692ad794ee8" /><Relationship Type="http://schemas.openxmlformats.org/officeDocument/2006/relationships/worksheet" Target="/xl/worksheets/sheet4.xml" Id="R8c687f97fce14b67" /><Relationship Type="http://schemas.openxmlformats.org/officeDocument/2006/relationships/worksheet" Target="/xl/worksheets/sheet5.xml" Id="R37f18cfef2aa4a65" /><Relationship Type="http://schemas.openxmlformats.org/officeDocument/2006/relationships/worksheet" Target="/xl/worksheets/sheet6.xml" Id="R717e688697164c8f" /><Relationship Type="http://schemas.openxmlformats.org/officeDocument/2006/relationships/worksheet" Target="/xl/worksheets/sheet7.xml" Id="R99ee9df976c84736" /><Relationship Type="http://schemas.openxmlformats.org/officeDocument/2006/relationships/worksheet" Target="/xl/worksheets/sheet8.xml" Id="Rda806432eae4458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2d4c5b996f4439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Avance de ejecución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strRef>
              <c:f>'Guía y resumen'!$E$16</c:f>
              <c:strCache>
                <c:ptCount val="1"/>
                <c:pt idx="0">
                  <c:v>Cantidad</c:v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'Guía y resumen'!$D$17:$D$21</c:f>
              <c:strCache>
                <c:ptCount val="5"/>
                <c:pt idx="0">
                  <c:v>No ejecutado</c:v>
                </c:pt>
                <c:pt idx="1">
                  <c:v>Aprobado</c:v>
                </c:pt>
                <c:pt idx="2">
                  <c:v>Falló</c:v>
                </c:pt>
                <c:pt idx="3">
                  <c:v>Bloqueado</c:v>
                </c:pt>
                <c:pt idx="4">
                  <c:v>No aplica</c:v>
                </c:pt>
              </c:strCache>
            </c:strRef>
          </c:cat>
          <c:val>
            <c:numRef>
              <c:f>'Guía y resumen'!$E$17:$E$21</c:f>
              <c:numCache>
                <c:formatCode>General</c:formatCode>
                <c:ptCount val="5"/>
                <c:pt idx="0">
                  <c:v>70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4983040"/>
        <c:axId val="849103152"/>
      </c:barChart>
      <c:catAx>
        <c:axId val="894983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849103152"/>
        <c:crosses val="autoZero"/>
        <c:lblOffset val="100"/>
      </c:catAx>
      <c:valAx>
        <c:axId val="84910315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894983040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8</xdr:col>
      <xdr:colOff>584200</xdr:colOff>
      <xdr:row>14</xdr:row>
      <xdr:rowOff>154940</xdr:rowOff>
    </xdr:from>
    <xdr:to>
      <xdr:col>18</xdr:col>
      <xdr:colOff>457200</xdr:colOff>
      <xdr:row>33</xdr:row>
      <xdr:rowOff>109220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2d4c5b996f443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sosAcceso" displayName="CasosAcceso" ref="A1:N11" headerRowCount="1" totalsRowShown="0" dataDxfId="129" headerRowBorderDxfId="130">
  <x:autoFilter ref="A1:N11"/>
  <x:tableColumns count="14">
    <x:tableColumn id="1" name="ID" dataDxfId="126"/>
    <x:tableColumn id="2" name="Prioridad" dataDxfId="125"/>
    <x:tableColumn id="3" name="Tipo" dataDxfId="124"/>
    <x:tableColumn id="4" name="Caso de prueba" dataDxfId="123"/>
    <x:tableColumn id="5" name="Precondiciones" dataDxfId="122"/>
    <x:tableColumn id="6" name="Datos para usar" dataDxfId="121"/>
    <x:tableColumn id="7" name="Pasos" dataDxfId="120"/>
    <x:tableColumn id="8" name="Resultado esperado" dataDxfId="119"/>
    <x:tableColumn id="9" name="Riesgo cubierto" dataDxfId="118"/>
    <x:tableColumn id="10" name="Estado" dataDxfId="117"/>
    <x:tableColumn id="11" name="Resultado real" dataDxfId="116"/>
    <x:tableColumn id="12" name="Comentarios" dataDxfId="115"/>
    <x:tableColumn id="13" name="Fecha" dataDxfId="114"/>
    <x:tableColumn id="14" name="Probado por" dataDxfId="113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asosRemates" displayName="CasosRemates" ref="A1:N32" headerRowCount="1" totalsRowShown="0" dataDxfId="110" headerRowBorderDxfId="111">
  <x:autoFilter ref="A1:N22"/>
  <x:tableColumns count="14">
    <x:tableColumn id="1" name="ID" dataDxfId="107"/>
    <x:tableColumn id="2" name="Prioridad" dataDxfId="106"/>
    <x:tableColumn id="3" name="Tipo" dataDxfId="105"/>
    <x:tableColumn id="4" name="Caso de prueba" dataDxfId="104"/>
    <x:tableColumn id="5" name="Precondiciones" dataDxfId="103"/>
    <x:tableColumn id="6" name="Datos para usar" dataDxfId="102"/>
    <x:tableColumn id="7" name="Pasos" dataDxfId="101"/>
    <x:tableColumn id="8" name="Resultado esperado" dataDxfId="100"/>
    <x:tableColumn id="9" name="Riesgo cubierto" dataDxfId="99"/>
    <x:tableColumn id="10" name="Estado" dataDxfId="98"/>
    <x:tableColumn id="11" name="Resultado real" dataDxfId="97"/>
    <x:tableColumn id="12" name="Comentarios" dataDxfId="96"/>
    <x:tableColumn id="13" name="Fecha" dataDxfId="95"/>
    <x:tableColumn id="14" name="Probado por" dataDxfId="94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sosCatalogo" displayName="CasosCatalogo" ref="A1:N11" headerRowCount="1" totalsRowShown="0" dataDxfId="91" headerRowBorderDxfId="92">
  <x:autoFilter ref="A1:N8"/>
  <x:tableColumns count="14">
    <x:tableColumn id="1" name="ID" dataDxfId="88"/>
    <x:tableColumn id="2" name="Prioridad" dataDxfId="87"/>
    <x:tableColumn id="3" name="Tipo" dataDxfId="86"/>
    <x:tableColumn id="4" name="Caso de prueba" dataDxfId="85"/>
    <x:tableColumn id="5" name="Precondiciones" dataDxfId="84"/>
    <x:tableColumn id="6" name="Datos para usar" dataDxfId="83"/>
    <x:tableColumn id="7" name="Pasos" dataDxfId="82"/>
    <x:tableColumn id="8" name="Resultado esperado" dataDxfId="81"/>
    <x:tableColumn id="9" name="Riesgo cubierto" dataDxfId="80"/>
    <x:tableColumn id="10" name="Estado" dataDxfId="79"/>
    <x:tableColumn id="11" name="Resultado real" dataDxfId="78"/>
    <x:tableColumn id="12" name="Comentarios" dataDxfId="77"/>
    <x:tableColumn id="13" name="Fecha" dataDxfId="76"/>
    <x:tableColumn id="14" name="Probado por" dataDxfId="75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CasosWeb" displayName="CasosWeb" ref="A1:N12" headerRowCount="1" totalsRowShown="0" dataDxfId="72" headerRowBorderDxfId="73">
  <x:autoFilter ref="A1:N11"/>
  <x:tableColumns count="14">
    <x:tableColumn id="1" name="ID" dataDxfId="69"/>
    <x:tableColumn id="2" name="Prioridad" dataDxfId="68"/>
    <x:tableColumn id="3" name="Tipo" dataDxfId="67"/>
    <x:tableColumn id="4" name="Caso de prueba" dataDxfId="66"/>
    <x:tableColumn id="5" name="Precondiciones" dataDxfId="65"/>
    <x:tableColumn id="6" name="Datos para usar" dataDxfId="64"/>
    <x:tableColumn id="7" name="Pasos" dataDxfId="63"/>
    <x:tableColumn id="8" name="Resultado esperado" dataDxfId="62"/>
    <x:tableColumn id="9" name="Riesgo cubierto" dataDxfId="61"/>
    <x:tableColumn id="10" name="Estado" dataDxfId="60"/>
    <x:tableColumn id="11" name="Resultado real" dataDxfId="59"/>
    <x:tableColumn id="12" name="Comentarios" dataDxfId="58"/>
    <x:tableColumn id="13" name="Fecha" dataDxfId="57"/>
    <x:tableColumn id="14" name="Probado por" dataDxfId="56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CasosContenido" displayName="CasosContenido" ref="A1:N12" headerRowCount="1" totalsRowShown="0" dataDxfId="53" headerRowBorderDxfId="54">
  <x:autoFilter ref="A1:N12"/>
  <x:tableColumns count="14">
    <x:tableColumn id="1" name="ID" dataDxfId="50"/>
    <x:tableColumn id="2" name="Prioridad" dataDxfId="49"/>
    <x:tableColumn id="3" name="Tipo" dataDxfId="48"/>
    <x:tableColumn id="4" name="Caso de prueba" dataDxfId="47"/>
    <x:tableColumn id="5" name="Precondiciones" dataDxfId="46"/>
    <x:tableColumn id="6" name="Datos para usar" dataDxfId="45"/>
    <x:tableColumn id="7" name="Pasos" dataDxfId="44"/>
    <x:tableColumn id="8" name="Resultado esperado" dataDxfId="43"/>
    <x:tableColumn id="9" name="Riesgo cubierto" dataDxfId="42"/>
    <x:tableColumn id="10" name="Estado" dataDxfId="41"/>
    <x:tableColumn id="11" name="Resultado real" dataDxfId="40"/>
    <x:tableColumn id="12" name="Comentarios" dataDxfId="39"/>
    <x:tableColumn id="13" name="Fecha" dataDxfId="38"/>
    <x:tableColumn id="14" name="Probado por" dataDxfId="37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CasosMobile" displayName="CasosMobile" ref="A1:N12" headerRowCount="1" totalsRowShown="0" dataDxfId="34" headerRowBorderDxfId="35">
  <x:autoFilter ref="A1:N12"/>
  <x:tableColumns count="14">
    <x:tableColumn id="1" name="ID" dataDxfId="31"/>
    <x:tableColumn id="2" name="Prioridad" dataDxfId="30"/>
    <x:tableColumn id="3" name="Tipo" dataDxfId="29"/>
    <x:tableColumn id="4" name="Caso de prueba" dataDxfId="28"/>
    <x:tableColumn id="5" name="Precondiciones" dataDxfId="27"/>
    <x:tableColumn id="6" name="Datos para usar" dataDxfId="26"/>
    <x:tableColumn id="7" name="Pasos" dataDxfId="25"/>
    <x:tableColumn id="8" name="Resultado esperado" dataDxfId="24"/>
    <x:tableColumn id="9" name="Riesgo cubierto" dataDxfId="23"/>
    <x:tableColumn id="10" name="Estado" dataDxfId="22"/>
    <x:tableColumn id="11" name="Resultado real" dataDxfId="21"/>
    <x:tableColumn id="12" name="Comentarios" dataDxfId="20"/>
    <x:tableColumn id="13" name="Fecha" dataDxfId="19"/>
    <x:tableColumn id="14" name="Probado por" dataDxfId="18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DatosRemates" displayName="DatosRemates" ref="A3:E21" headerRowCount="1" totalsRowShown="0" dataDxfId="139" headerRowBorderDxfId="140">
  <x:autoFilter ref="A3:E21"/>
  <x:tableColumns count="5">
    <x:tableColumn id="1" name="Campo" dataDxfId="136"/>
    <x:tableColumn id="2" name="Caso base" dataDxfId="135"/>
    <x:tableColumn id="3" name="Segundo caso" dataDxfId="134"/>
    <x:tableColumn id="4" name="Caso extremo" dataDxfId="133"/>
    <x:tableColumn id="5" name="Notas" dataDxfId="132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7e406353083423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fc2d67e88144c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1994a1aabcc4b0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30be1f2288343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aaca587cab64e2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c7d9d3d009546f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3f7c1aaad6c407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14b72c790094a5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27.77734375" customWidth="1"/>
    <x:col min="2" max="2" width="34.77734375" customWidth="1"/>
    <x:col min="3" max="3" width="3.77734375" customWidth="1"/>
    <x:col min="4" max="4" width="24.77734375" customWidth="1"/>
    <x:col min="5" max="5" width="15.77734375" customWidth="1"/>
    <x:col min="6" max="8" width="14.77734375" customWidth="1"/>
  </x:cols>
  <x:sheetData>
    <x:row r="1" ht="42" customHeight="1">
      <x:c r="A1" s="28" t="inlineStr">
        <x:is>
          <x:t xml:space="preserve">Plan de pruebas manuales · Zunino Remates Web</x:t>
        </x:is>
      </x:c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</x:row>
    <x:row r="3" ht="18" customHeight="1">
      <x:c r="A3" s="29" t="inlineStr">
        <x:is>
          <x:t xml:space="preserve">Cómo usar este libro</x:t>
        </x:is>
      </x:c>
    </x:row>
    <x:row r="4">
      <x:c r="A4" s="30" t="inlineStr">
        <x:is>
          <x:t xml:space="preserve">1. Ejecutá npm run dev desde la carpeta del proyecto y abrí http://localhost:5173.
2. Probá cada caso con los datos indicados. Algunos casos de riesgo están diseñados para revelar limitaciones y pueden fallar.
3. Elegí un Estado, completá Resultado real y anotá cualquier cambio deseado en Comentarios.
4. Antes de pruebas destructivas, usá datos identificados como BORRAR o restablecé la demostración al finalizar.</x:t>
        </x:is>
      </x:c>
    </x:row>
    <x:row r="5"/>
    <x:row r="6"/>
    <x:row r="7"/>
    <x:row r="8">
      <x:c r="A8" s="23" t="n"/>
      <x:c r="B8" s="23" t="n"/>
      <x:c r="C8" s="23" t="n"/>
      <x:c r="D8" s="23" t="n"/>
      <x:c r="E8" s="23" t="n"/>
      <x:c r="F8" s="23" t="n"/>
      <x:c r="G8" s="23" t="n"/>
      <x:c r="H8" s="23" t="n"/>
    </x:row>
    <x:row r="9">
      <x:c r="A9" s="24" t="inlineStr">
        <x:is>
          <x:t xml:space="preserve">Dato</x:t>
        </x:is>
      </x:c>
      <x:c r="B9" s="24" t="inlineStr">
        <x:is>
          <x:t xml:space="preserve">Valor</x:t>
        </x:is>
      </x:c>
      <x:c r="C9" s="23" t="n"/>
      <x:c r="D9" s="24" t="inlineStr">
        <x:is>
          <x:t xml:space="preserve">Indicador</x:t>
        </x:is>
      </x:c>
      <x:c r="E9" s="24" t="inlineStr">
        <x:is>
          <x:t xml:space="preserve">Cantidad</x:t>
        </x:is>
      </x:c>
      <x:c r="F9" s="23" t="n"/>
      <x:c r="G9" s="23" t="n"/>
      <x:c r="H9" s="23" t="n"/>
    </x:row>
    <x:row r="10">
      <x:c r="A10" s="25" t="inlineStr">
        <x:is>
          <x:t xml:space="preserve">Ruta pública</x:t>
        </x:is>
      </x:c>
      <x:c r="B10" s="25" t="inlineStr">
        <x:is>
          <x:t xml:space="preserve">http://localhost:5173/</x:t>
        </x:is>
      </x:c>
      <x:c r="C10" s="23" t="n"/>
      <x:c r="D10" s="25" t="inlineStr">
        <x:is>
          <x:t xml:space="preserve">Total de casos</x:t>
        </x:is>
      </x:c>
      <x:c r="E10" s="25" t="n">
        <x:f>COUNTA('Acceso y sesión'!$A$2:$A$200)+COUNTA('Gestión de remates'!$A$2:$A$200)+COUNTA('Catálogo y lotes'!$A$2:$A$200)+COUNTA('Web pública'!$A$2:$A$200)+COUNTA('Contenido y contacto'!$A$2:$A$200)+COUNTA('Mobile y accesibilidad'!$A$2:$A$200)</x:f>
        <x:v>81</x:v>
      </x:c>
      <x:c r="F10" s="23" t="n"/>
      <x:c r="G10" s="23" t="n"/>
      <x:c r="H10" s="23" t="n"/>
    </x:row>
    <x:row r="11">
      <x:c r="A11" s="25" t="inlineStr">
        <x:is>
          <x:t xml:space="preserve">Ruta administrativa</x:t>
        </x:is>
      </x:c>
      <x:c r="B11" s="25" t="inlineStr">
        <x:is>
          <x:t xml:space="preserve">http://localhost:5173/admin12345</x:t>
        </x:is>
      </x:c>
      <x:c r="C11" s="23" t="n"/>
      <x:c r="D11" s="25" t="inlineStr">
        <x:is>
          <x:t xml:space="preserve">No ejecutados</x:t>
        </x:is>
      </x:c>
      <x:c r="E11" s="25" t="n">
        <x:f>COUNTIF('Acceso y sesión'!$J$2:$J$200,"No ejecutado")+COUNTIF('Gestión de remates'!$J$2:$J$200,"No ejecutado")+COUNTIF('Catálogo y lotes'!$J$2:$J$200,"No ejecutado")+COUNTIF('Web pública'!$J$2:$J$200,"No ejecutado")+COUNTIF('Contenido y contacto'!$J$2:$J$200,"No ejecutado")+COUNTIF('Mobile y accesibilidad'!$J$2:$J$200,"No ejecutado")</x:f>
        <x:v>32</x:v>
      </x:c>
      <x:c r="F11" s="23" t="n"/>
      <x:c r="G11" s="23" t="n"/>
      <x:c r="H11" s="23" t="n"/>
    </x:row>
    <x:row r="12">
      <x:c r="A12" s="25" t="inlineStr">
        <x:is>
          <x:t xml:space="preserve">Usuario demo</x:t>
        </x:is>
      </x:c>
      <x:c r="B12" s="25" t="inlineStr">
        <x:is>
          <x:t xml:space="preserve">admin_zunino</x:t>
        </x:is>
      </x:c>
      <x:c r="C12" s="23" t="n"/>
      <x:c r="D12" s="25" t="inlineStr">
        <x:is>
          <x:t xml:space="preserve">Aprobados</x:t>
        </x:is>
      </x:c>
      <x:c r="E12" s="25" t="n">
        <x:f>COUNTIF('Acceso y sesión'!$J$2:$J$200,"Aprobado")+COUNTIF('Gestión de remates'!$J$2:$J$200,"Aprobado")+COUNTIF('Catálogo y lotes'!$J$2:$J$200,"Aprobado")+COUNTIF('Web pública'!$J$2:$J$200,"Aprobado")+COUNTIF('Contenido y contacto'!$J$2:$J$200,"Aprobado")+COUNTIF('Mobile y accesibilidad'!$J$2:$J$200,"Aprobado")</x:f>
        <x:v>45</x:v>
      </x:c>
      <x:c r="F12" s="23" t="n"/>
      <x:c r="G12" s="23" t="n"/>
      <x:c r="H12" s="23" t="n"/>
    </x:row>
    <x:row r="13">
      <x:c r="A13" s="25" t="inlineStr">
        <x:is>
          <x:t xml:space="preserve">Contraseña demo</x:t>
        </x:is>
      </x:c>
      <x:c r="B13" s="25" t="inlineStr">
        <x:is>
          <x:t xml:space="preserve">Zunino#Admin_7304!</x:t>
        </x:is>
      </x:c>
      <x:c r="C13" s="23" t="n"/>
      <x:c r="D13" s="25" t="inlineStr">
        <x:is>
          <x:t xml:space="preserve">Fallidos</x:t>
        </x:is>
      </x:c>
      <x:c r="E13" s="25" t="n">
        <x:f>COUNTIF('Acceso y sesión'!$J$2:$J$200,"Falló")+COUNTIF('Gestión de remates'!$J$2:$J$200,"Falló")+COUNTIF('Catálogo y lotes'!$J$2:$J$200,"Falló")+COUNTIF('Web pública'!$J$2:$J$200,"Falló")+COUNTIF('Contenido y contacto'!$J$2:$J$200,"Falló")+COUNTIF('Mobile y accesibilidad'!$J$2:$J$200,"Falló")</x:f>
        <x:v>3</x:v>
      </x:c>
      <x:c r="F13" s="23" t="n"/>
      <x:c r="G13" s="23" t="n"/>
      <x:c r="H13" s="23" t="n"/>
    </x:row>
    <x:row r="14">
      <x:c r="A14" s="23" t="n"/>
      <x:c r="B14" s="23" t="n"/>
      <x:c r="C14" s="23" t="n"/>
      <x:c r="D14" s="25" t="inlineStr">
        <x:is>
          <x:t xml:space="preserve">Bloqueados</x:t>
        </x:is>
      </x:c>
      <x:c r="E14" s="25" t="n">
        <x:f>COUNTIF('Acceso y sesión'!$J$2:$J$200,"Bloqueado")+COUNTIF('Gestión de remates'!$J$2:$J$200,"Bloqueado")+COUNTIF('Catálogo y lotes'!$J$2:$J$200,"Bloqueado")+COUNTIF('Web pública'!$J$2:$J$200,"Bloqueado")+COUNTIF('Contenido y contacto'!$J$2:$J$200,"Bloqueado")+COUNTIF('Mobile y accesibilidad'!$J$2:$J$200,"Bloqueado")</x:f>
        <x:v>0</x:v>
      </x:c>
      <x:c r="F14" s="23" t="n"/>
      <x:c r="G14" s="23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23" t="n"/>
      <x:c r="H15" s="23" t="n"/>
    </x:row>
    <x:row r="16">
      <x:c r="A16" s="24" t="inlineStr">
        <x:is>
          <x:t xml:space="preserve">Área</x:t>
        </x:is>
      </x:c>
      <x:c r="B16" s="24" t="inlineStr">
        <x:is>
          <x:t xml:space="preserve">Casos</x:t>
        </x:is>
      </x:c>
      <x:c r="C16" s="23" t="n"/>
      <x:c r="D16" s="24" t="inlineStr">
        <x:is>
          <x:t xml:space="preserve">Estado</x:t>
        </x:is>
      </x:c>
      <x:c r="E16" s="24" t="inlineStr">
        <x:is>
          <x:t xml:space="preserve">Cantidad</x:t>
        </x:is>
      </x:c>
      <x:c r="F16" s="23" t="n"/>
      <x:c r="G16" s="23" t="n"/>
      <x:c r="H16" s="23" t="n"/>
    </x:row>
    <x:row r="17">
      <x:c r="A17" s="25" t="inlineStr">
        <x:is>
          <x:t xml:space="preserve">Acceso y sesión</x:t>
        </x:is>
      </x:c>
      <x:c r="B17" s="25" t="n">
        <x:f>COUNTA('Acceso y sesión'!$A$2:$A$200)</x:f>
        <x:v>10</x:v>
      </x:c>
      <x:c r="C17" s="23" t="n"/>
      <x:c r="D17" s="25" t="inlineStr">
        <x:is>
          <x:t xml:space="preserve">No ejecutado</x:t>
        </x:is>
      </x:c>
      <x:c r="E17" s="25" t="n">
        <x:f>COUNTIF('Acceso y sesión'!$J$2:$J$200,"No ejecutado")+COUNTIF('Gestión de remates'!$J$2:$J$200,"No ejecutado")+COUNTIF('Catálogo y lotes'!$J$2:$J$200,"No ejecutado")+COUNTIF('Web pública'!$J$2:$J$200,"No ejecutado")+COUNTIF('Contenido y contacto'!$J$2:$J$200,"No ejecutado")+COUNTIF('Mobile y accesibilidad'!$J$2:$J$200,"No ejecutado")</x:f>
        <x:v>32</x:v>
      </x:c>
      <x:c r="F17" s="23" t="n"/>
      <x:c r="G17" s="23" t="n"/>
      <x:c r="H17" s="23" t="n"/>
    </x:row>
    <x:row r="18">
      <x:c r="A18" s="25" t="inlineStr">
        <x:is>
          <x:t xml:space="preserve">Gestión de remates</x:t>
        </x:is>
      </x:c>
      <x:c r="B18" s="25" t="n">
        <x:f>COUNTA('Gestión de remates'!$A$2:$A$200)</x:f>
        <x:v>31</x:v>
      </x:c>
      <x:c r="C18" s="23" t="n"/>
      <x:c r="D18" s="25" t="inlineStr">
        <x:is>
          <x:t xml:space="preserve">Aprobado</x:t>
        </x:is>
      </x:c>
      <x:c r="E18" s="25" t="n">
        <x:f>COUNTIF('Acceso y sesión'!$J$2:$J$200,"Aprobado")+COUNTIF('Gestión de remates'!$J$2:$J$200,"Aprobado")+COUNTIF('Catálogo y lotes'!$J$2:$J$200,"Aprobado")+COUNTIF('Web pública'!$J$2:$J$200,"Aprobado")+COUNTIF('Contenido y contacto'!$J$2:$J$200,"Aprobado")+COUNTIF('Mobile y accesibilidad'!$J$2:$J$200,"Aprobado")</x:f>
        <x:v>45</x:v>
      </x:c>
      <x:c r="F18" s="23" t="n"/>
      <x:c r="G18" s="23" t="n"/>
      <x:c r="H18" s="23" t="n"/>
    </x:row>
    <x:row r="19">
      <x:c r="A19" s="25" t="inlineStr">
        <x:is>
          <x:t xml:space="preserve">Catálogo y lotes</x:t>
        </x:is>
      </x:c>
      <x:c r="B19" s="25" t="n">
        <x:f>COUNTA('Catálogo y lotes'!$A$2:$A$200)</x:f>
        <x:v>9</x:v>
      </x:c>
      <x:c r="C19" s="23" t="n"/>
      <x:c r="D19" s="25" t="inlineStr">
        <x:is>
          <x:t xml:space="preserve">Falló</x:t>
        </x:is>
      </x:c>
      <x:c r="E19" s="25" t="n">
        <x:f>COUNTIF('Acceso y sesión'!$J$2:$J$200,"Falló")+COUNTIF('Gestión de remates'!$J$2:$J$200,"Falló")+COUNTIF('Catálogo y lotes'!$J$2:$J$200,"Falló")+COUNTIF('Web pública'!$J$2:$J$200,"Falló")+COUNTIF('Contenido y contacto'!$J$2:$J$200,"Falló")+COUNTIF('Mobile y accesibilidad'!$J$2:$J$200,"Falló")</x:f>
        <x:v>3</x:v>
      </x:c>
      <x:c r="F19" s="23" t="n"/>
      <x:c r="G19" s="23" t="n"/>
      <x:c r="H19" s="23" t="n"/>
    </x:row>
    <x:row r="20">
      <x:c r="A20" s="25" t="inlineStr">
        <x:is>
          <x:t xml:space="preserve">Web pública</x:t>
        </x:is>
      </x:c>
      <x:c r="B20" s="25" t="n">
        <x:f>COUNTA('Web pública'!$A$2:$A$200)</x:f>
        <x:v>11</x:v>
      </x:c>
      <x:c r="C20" s="23" t="n"/>
      <x:c r="D20" s="25" t="inlineStr">
        <x:is>
          <x:t xml:space="preserve">Bloqueado</x:t>
        </x:is>
      </x:c>
      <x:c r="E20" s="25" t="n">
        <x:f>COUNTIF('Acceso y sesión'!$J$2:$J$200,"Bloqueado")+COUNTIF('Gestión de remates'!$J$2:$J$200,"Bloqueado")+COUNTIF('Catálogo y lotes'!$J$2:$J$200,"Bloqueado")+COUNTIF('Web pública'!$J$2:$J$200,"Bloqueado")+COUNTIF('Contenido y contacto'!$J$2:$J$200,"Bloqueado")+COUNTIF('Mobile y accesibilidad'!$J$2:$J$200,"Bloqueado")</x:f>
        <x:v>0</x:v>
      </x:c>
      <x:c r="F20" s="23" t="n"/>
      <x:c r="G20" s="23" t="n"/>
      <x:c r="H20" s="23" t="n"/>
    </x:row>
    <x:row r="21">
      <x:c r="A21" s="25" t="inlineStr">
        <x:is>
          <x:t xml:space="preserve">Contenido y contacto</x:t>
        </x:is>
      </x:c>
      <x:c r="B21" s="25" t="n">
        <x:f>COUNTA('Contenido y contacto'!$A$2:$A$200)</x:f>
        <x:v>11</x:v>
      </x:c>
      <x:c r="C21" s="23" t="n"/>
      <x:c r="D21" s="25" t="inlineStr">
        <x:is>
          <x:t xml:space="preserve">No aplica</x:t>
        </x:is>
      </x:c>
      <x:c r="E21" s="25" t="n">
        <x:f>COUNTIF('Acceso y sesión'!$J$2:$J$200,"No aplica")+COUNTIF('Gestión de remates'!$J$2:$J$200,"No aplica")+COUNTIF('Catálogo y lotes'!$J$2:$J$200,"No aplica")+COUNTIF('Web pública'!$J$2:$J$200,"No aplica")+COUNTIF('Contenido y contacto'!$J$2:$J$200,"No aplica")+COUNTIF('Mobile y accesibilidad'!$J$2:$J$200,"No aplica")</x:f>
        <x:v>0</x:v>
      </x:c>
      <x:c r="F21" s="23" t="n"/>
      <x:c r="G21" s="23" t="n"/>
      <x:c r="H21" s="23" t="n"/>
    </x:row>
    <x:row r="22">
      <x:c r="A22" s="25" t="inlineStr">
        <x:is>
          <x:t xml:space="preserve">Mobile y accesibilidad</x:t>
        </x:is>
      </x:c>
      <x:c r="B22" s="25" t="n">
        <x:f>COUNTA('Mobile y accesibilidad'!$A$2:$A$200)</x:f>
        <x:v>9</x:v>
      </x:c>
      <x:c r="C22" s="23" t="n"/>
      <x:c r="D22" s="23" t="n"/>
      <x:c r="E22" s="23" t="n"/>
      <x:c r="F22" s="23" t="n"/>
      <x:c r="G22" s="23" t="n"/>
      <x:c r="H22" s="23" t="n"/>
    </x:row>
    <x:row r="23">
      <x:c r="A23" s="26" t="inlineStr">
        <x:is>
          <x:t xml:space="preserve">TOTAL</x:t>
        </x:is>
      </x:c>
      <x:c r="B23" s="26" t="n">
        <x:f>SUM(B17:B22)</x:f>
        <x:v>81</x:v>
      </x:c>
      <x:c r="C23" s="23" t="n"/>
      <x:c r="D23" s="23" t="n"/>
      <x:c r="E23" s="23" t="n"/>
      <x:c r="F23" s="23" t="n"/>
      <x:c r="G23" s="23" t="n"/>
      <x:c r="H23" s="23" t="n"/>
    </x:row>
    <x:row r="24">
      <x:c r="A24" s="23" t="n"/>
      <x:c r="B24" s="23" t="n"/>
      <x:c r="C24" s="23" t="n"/>
      <x:c r="D24" s="23" t="n"/>
      <x:c r="E24" s="23" t="n"/>
      <x:c r="F24" s="23" t="n"/>
      <x:c r="G24" s="23" t="n"/>
      <x:c r="H24" s="23" t="n"/>
    </x:row>
    <x:row r="25">
      <x:c r="A25" s="31" t="inlineStr">
        <x:is>
          <x:t xml:space="preserve">Criterio para registrar resultados</x:t>
        </x:is>
      </x:c>
    </x:row>
    <x:row r="26">
      <x:c r="A26" s="30" t="inlineStr">
        <x:is>
          <x:t xml:space="preserve">Aprobado: coincide con el resultado esperado.
Falló: el comportamiento es incorrecto o no cumple lo esperado.
Bloqueado: no se pudo probar por falta de archivo, red, servicio externo u otra condición.
No aplica: el caso dejó de corresponder al alcance. En casos de riesgo, un fallo es información útil para decidir una mejora.</x:t>
        </x:is>
      </x:c>
    </x:row>
    <x:row r="27"/>
    <x:row r="28"/>
    <x:row r="29"/>
  </x:sheetData>
  <x:mergeCells>
    <x:mergeCell ref="A4:H7"/>
    <x:mergeCell ref="A3:H3"/>
    <x:mergeCell ref="A26:H29"/>
    <x:mergeCell ref="A25:H25"/>
    <x:mergeCell ref="A1:H1"/>
  </x:mergeCells>
  <x:pageMargins left="0.7" right="0.7" top="0.75" bottom="0.75" header="0.3" footer="0.3"/>
  <x:drawing xmlns:r="http://schemas.openxmlformats.org/officeDocument/2006/relationships" r:id="Ra7e406353083423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ACC-001</x:t>
        </x:is>
      </x:c>
      <x:c r="B2" s="10" t="inlineStr">
        <x:is>
          <x:t xml:space="preserve">Alta</x:t>
        </x:is>
      </x:c>
      <x:c r="C2" s="36" t="inlineStr">
        <x:is>
          <x:t xml:space="preserve">Positivo</x:t>
        </x:is>
      </x:c>
      <x:c r="D2" s="36" t="inlineStr">
        <x:is>
          <x:t xml:space="preserve">Ingreso con credenciales válidas</x:t>
        </x:is>
      </x:c>
      <x:c r="E2" s="36" t="inlineStr">
        <x:is>
          <x:t xml:space="preserve">Abrir /admin12345 sin sesión activa.</x:t>
        </x:is>
      </x:c>
      <x:c r="F2" s="36" t="inlineStr">
        <x:is>
          <x:t xml:space="preserve">Usuario: admin_zunino
Contraseña: Zunino#Admin_7304!</x:t>
        </x:is>
      </x:c>
      <x:c r="G2" s="36" t="inlineStr">
        <x:is>
          <x:t xml:space="preserve">1. Completar usuario y contraseña.
2. Presionar Ingresar.</x:t>
        </x:is>
      </x:c>
      <x:c r="H2" s="36" t="inlineStr">
        <x:is>
          <x:t xml:space="preserve">Se abre el Panel administrador y la sesión queda activa.</x:t>
        </x:is>
      </x:c>
      <x:c r="I2" s="36" t="inlineStr">
        <x:is>
          <x:t xml:space="preserve">Bloqueo de acceso válido o credenciales que no funcionan.</x:t>
        </x:is>
      </x:c>
      <x:c r="J2" s="36" t="str">
        <x:v>Aprobado</x:v>
      </x:c>
      <x:c r="K2" s="36" t="str">
        <x:v>Coincide con el resultado esperado.</x:v>
      </x:c>
      <x:c r="L2" s="36" t="str">
        <x:v>Verificado manualmente por Pablo.</x:v>
      </x:c>
      <x:c r="M2" s="37" t="str">
        <x:v>01/09/2026</x:v>
      </x:c>
      <x:c r="N2" s="38" t="str">
        <x:v>Pablo</x:v>
      </x:c>
    </x:row>
    <x:row r="3" ht="96" customHeight="1">
      <x:c r="A3" s="12" t="inlineStr">
        <x:is>
          <x:t xml:space="preserve">ACC-002</x:t>
        </x:is>
      </x:c>
      <x:c r="B3" s="10" t="inlineStr">
        <x:is>
          <x:t xml:space="preserve">Alta</x:t>
        </x:is>
      </x:c>
      <x:c r="C3" s="36" t="inlineStr">
        <x:is>
          <x:t xml:space="preserve">Negativo</x:t>
        </x:is>
      </x:c>
      <x:c r="D3" s="36" t="inlineStr">
        <x:is>
          <x:t xml:space="preserve">Usuario incorrecto</x:t>
        </x:is>
      </x:c>
      <x:c r="E3" s="36" t="inlineStr">
        <x:is>
          <x:t xml:space="preserve">Cerrar sesión antes de comenzar.</x:t>
        </x:is>
      </x:c>
      <x:c r="F3" s="36" t="inlineStr">
        <x:is>
          <x:t xml:space="preserve">Usuario: administrador
Contraseña: Zunino#Admin_7304!</x:t>
        </x:is>
      </x:c>
      <x:c r="G3" s="36" t="inlineStr">
        <x:is>
          <x:t xml:space="preserve">1. Ingresar los datos.
2. Presionar Ingresar.</x:t>
        </x:is>
      </x:c>
      <x:c r="H3" s="36" t="inlineStr">
        <x:is>
          <x:t xml:space="preserve">No permite acceder y muestra un mensaje de usuario o contraseña incorrectos.</x:t>
        </x:is>
      </x:c>
      <x:c r="I3" s="36" t="inlineStr">
        <x:is>
          <x:t xml:space="preserve">Acceso no autorizado.</x:t>
        </x:is>
      </x:c>
      <x:c r="J3" s="36" t="str">
        <x:v>Aprobado</x:v>
      </x:c>
      <x:c r="K3" s="36" t="str">
        <x:v>Coincide con el resultado esperado.</x:v>
      </x:c>
      <x:c r="L3" s="36" t="str">
        <x:v>Verificado manualmente por Pablo.</x:v>
      </x:c>
      <x:c r="M3" s="37" t="str">
        <x:v>01/09/2026</x:v>
      </x:c>
      <x:c r="N3" s="38" t="str">
        <x:v>Pablo</x:v>
      </x:c>
    </x:row>
    <x:row r="4" ht="96" customHeight="1">
      <x:c r="A4" s="12" t="inlineStr">
        <x:is>
          <x:t xml:space="preserve">ACC-003</x:t>
        </x:is>
      </x:c>
      <x:c r="B4" s="10" t="inlineStr">
        <x:is>
          <x:t xml:space="preserve">Alta</x:t>
        </x:is>
      </x:c>
      <x:c r="C4" s="36" t="inlineStr">
        <x:is>
          <x:t xml:space="preserve">Negativo</x:t>
        </x:is>
      </x:c>
      <x:c r="D4" s="36" t="inlineStr">
        <x:is>
          <x:t xml:space="preserve">Contraseña incorrecta</x:t>
        </x:is>
      </x:c>
      <x:c r="E4" s="36" t="inlineStr">
        <x:is>
          <x:t xml:space="preserve">Cerrar sesión antes de comenzar.</x:t>
        </x:is>
      </x:c>
      <x:c r="F4" s="36" t="inlineStr">
        <x:is>
          <x:t xml:space="preserve">Usuario: admin_zunino
Contraseña: Zunino123</x:t>
        </x:is>
      </x:c>
      <x:c r="G4" s="36" t="inlineStr">
        <x:is>
          <x:t xml:space="preserve">1. Ingresar los datos.
2. Presionar Ingresar.</x:t>
        </x:is>
      </x:c>
      <x:c r="H4" s="36" t="inlineStr">
        <x:is>
          <x:t xml:space="preserve">No permite acceder y no revela cuál de los dos datos es incorrecto.</x:t>
        </x:is>
      </x:c>
      <x:c r="I4" s="36" t="inlineStr">
        <x:is>
          <x:t xml:space="preserve">Filtración de información de autenticación.</x:t>
        </x:is>
      </x:c>
      <x:c r="J4" s="36" t="str">
        <x:v>Aprobado</x:v>
      </x:c>
      <x:c r="K4" s="36" t="str">
        <x:v>Coincide con el resultado esperado.</x:v>
      </x:c>
      <x:c r="L4" s="36" t="str">
        <x:v>Verificado manualmente por Pablo.</x:v>
      </x:c>
      <x:c r="M4" s="37" t="str">
        <x:v>01/09/2026</x:v>
      </x:c>
      <x:c r="N4" s="38" t="str">
        <x:v>Pablo</x:v>
      </x:c>
    </x:row>
    <x:row r="5" ht="96" customHeight="1">
      <x:c r="A5" s="12" t="inlineStr">
        <x:is>
          <x:t xml:space="preserve">ACC-004</x:t>
        </x:is>
      </x:c>
      <x:c r="B5" s="10" t="inlineStr">
        <x:is>
          <x:t xml:space="preserve">Media</x:t>
        </x:is>
      </x:c>
      <x:c r="C5" s="36" t="inlineStr">
        <x:is>
          <x:t xml:space="preserve">Extremo</x:t>
        </x:is>
      </x:c>
      <x:c r="D5" s="36" t="inlineStr">
        <x:is>
          <x:t xml:space="preserve">Campos de acceso vacíos</x:t>
        </x:is>
      </x:c>
      <x:c r="E5" s="36" t="inlineStr">
        <x:is>
          <x:t xml:space="preserve">Pantalla de acceso abierta.</x:t>
        </x:is>
      </x:c>
      <x:c r="F5" s="36" t="inlineStr">
        <x:is>
          <x:t xml:space="preserve">Usuario: vacío
Contraseña: vacía</x:t>
        </x:is>
      </x:c>
      <x:c r="G5" s="36" t="inlineStr">
        <x:is>
          <x:t xml:space="preserve">1. No completar nada.
2. Presionar Ingresar.</x:t>
        </x:is>
      </x:c>
      <x:c r="H5" s="36" t="inlineStr">
        <x:is>
          <x:t xml:space="preserve">El navegador señala los campos obligatorios y no envía el formulario.</x:t>
        </x:is>
      </x:c>
      <x:c r="I5" s="36" t="inlineStr">
        <x:is>
          <x:t xml:space="preserve">Ingreso accidental o mensaje confuso.</x:t>
        </x:is>
      </x:c>
      <x:c r="J5" s="36" t="str">
        <x:v>Aprobado</x:v>
      </x:c>
      <x:c r="K5" s="36" t="str">
        <x:v>Coincide con el resultado esperado.</x:v>
      </x:c>
      <x:c r="L5" s="36" t="str">
        <x:v>Verificado manualmente por Pablo.</x:v>
      </x:c>
      <x:c r="M5" s="37" t="str">
        <x:v>01/09/2026</x:v>
      </x:c>
      <x:c r="N5" s="38" t="str">
        <x:v>Pablo</x:v>
      </x:c>
    </x:row>
    <x:row r="6" ht="96" customHeight="1">
      <x:c r="A6" s="12" t="inlineStr">
        <x:is>
          <x:t xml:space="preserve">ACC-005</x:t>
        </x:is>
      </x:c>
      <x:c r="B6" s="10" t="inlineStr">
        <x:is>
          <x:t xml:space="preserve">Alta</x:t>
        </x:is>
      </x:c>
      <x:c r="C6" s="36" t="inlineStr">
        <x:is>
          <x:t xml:space="preserve">Persistencia</x:t>
        </x:is>
      </x:c>
      <x:c r="D6" s="36" t="inlineStr">
        <x:is>
          <x:t xml:space="preserve">Recarga con sesión activa</x:t>
        </x:is>
      </x:c>
      <x:c r="E6" s="36" t="inlineStr">
        <x:is>
          <x:t xml:space="preserve">Ingresar correctamente al panel.</x:t>
        </x:is>
      </x:c>
      <x:c r="F6" s="36" t="inlineStr">
        <x:is>
          <x:t xml:space="preserve">Sin datos adicionales.</x:t>
        </x:is>
      </x:c>
      <x:c r="G6" s="36" t="inlineStr">
        <x:is>
          <x:t xml:space="preserve">1. Recargar la pestaña con F5.
2. Revisar la pantalla mostrada.</x:t>
        </x:is>
      </x:c>
      <x:c r="H6" s="36" t="inlineStr">
        <x:is>
          <x:t xml:space="preserve">El panel permanece abierto durante la misma sesión del navegador.</x:t>
        </x:is>
      </x:c>
      <x:c r="I6" s="36" t="inlineStr">
        <x:is>
          <x:t xml:space="preserve">Pérdida inesperada de trabajo por recarga.</x:t>
        </x:is>
      </x:c>
      <x:c r="J6" s="36" t="str">
        <x:v>Aprobado</x:v>
      </x:c>
      <x:c r="K6" s="36" t="str">
        <x:v>Coincide con el resultado esperado.</x:v>
      </x:c>
      <x:c r="L6" s="36" t="str">
        <x:v>Verificado manualmente por Pablo.</x:v>
      </x:c>
      <x:c r="M6" s="37" t="str">
        <x:v>01/09/2026</x:v>
      </x:c>
      <x:c r="N6" s="38" t="str">
        <x:v>Pablo</x:v>
      </x:c>
    </x:row>
    <x:row r="7" ht="96" customHeight="1">
      <x:c r="A7" s="12" t="inlineStr">
        <x:is>
          <x:t xml:space="preserve">ACC-006</x:t>
        </x:is>
      </x:c>
      <x:c r="B7" s="10" t="inlineStr">
        <x:is>
          <x:t xml:space="preserve">Alta</x:t>
        </x:is>
      </x:c>
      <x:c r="C7" s="36" t="inlineStr">
        <x:is>
          <x:t xml:space="preserve">Seguridad</x:t>
        </x:is>
      </x:c>
      <x:c r="D7" s="36" t="inlineStr">
        <x:is>
          <x:t xml:space="preserve">Cerrar sesión</x:t>
        </x:is>
      </x:c>
      <x:c r="E7" s="36" t="inlineStr">
        <x:is>
          <x:t xml:space="preserve">Tener una sesión administrativa activa.</x:t>
        </x:is>
      </x:c>
      <x:c r="F7" s="36" t="inlineStr">
        <x:is>
          <x:t xml:space="preserve">Sin datos adicionales.</x:t>
        </x:is>
      </x:c>
      <x:c r="G7" s="36" t="inlineStr">
        <x:is>
          <x:t xml:space="preserve">1. Presionar Cerrar sesión.
2. Recargar /admin12345.</x:t>
        </x:is>
      </x:c>
      <x:c r="H7" s="36" t="inlineStr">
        <x:is>
          <x:t xml:space="preserve">Vuelve al inicio de sesión y la recarga no restaura el acceso.</x:t>
        </x:is>
      </x:c>
      <x:c r="I7" s="36" t="inlineStr">
        <x:is>
          <x:t xml:space="preserve">Sesión administrativa expuesta.</x:t>
        </x:is>
      </x:c>
      <x:c r="J7" s="36" t="str">
        <x:v>Aprobado</x:v>
      </x:c>
      <x:c r="K7" s="36" t="str">
        <x:v>Coincide con el resultado esperado.</x:v>
      </x:c>
      <x:c r="L7" s="36" t="str">
        <x:v>Verificado manualmente por Pablo.</x:v>
      </x:c>
      <x:c r="M7" s="37" t="str">
        <x:v>01/09/2026</x:v>
      </x:c>
      <x:c r="N7" s="38" t="str">
        <x:v>Pablo</x:v>
      </x:c>
    </x:row>
    <x:row r="8" ht="96" customHeight="1">
      <x:c r="A8" s="13" t="inlineStr">
        <x:is>
          <x:t xml:space="preserve">ACC-007</x:t>
        </x:is>
      </x:c>
      <x:c r="B8" s="11" t="inlineStr">
        <x:is>
          <x:t xml:space="preserve">Media</x:t>
        </x:is>
      </x:c>
      <x:c r="C8" s="7" t="inlineStr">
        <x:is>
          <x:t xml:space="preserve">Navegación</x:t>
        </x:is>
      </x:c>
      <x:c r="D8" s="7" t="inlineStr">
        <x:is>
          <x:t xml:space="preserve">Abrir el sitio público desde el panel</x:t>
        </x:is>
      </x:c>
      <x:c r="E8" s="7" t="inlineStr">
        <x:is>
          <x:t xml:space="preserve">Sesión administrativa activa.</x:t>
        </x:is>
      </x:c>
      <x:c r="F8" s="7" t="inlineStr">
        <x:is>
          <x:t xml:space="preserve">Botón: Ver sitio público.</x:t>
        </x:is>
      </x:c>
      <x:c r="G8" s="7" t="inlineStr">
        <x:is>
          <x:t xml:space="preserve">1. Presionar Ver sitio público.
2. Revisar dónde se abre.</x:t>
        </x:is>
      </x:c>
      <x:c r="H8" s="7" t="inlineStr">
        <x:is>
          <x:t xml:space="preserve">La web pública se abre en otra pestaña y el panel conserva su estado.</x:t>
        </x:is>
      </x:c>
      <x:c r="I8" s="7" t="inlineStr">
        <x:is>
          <x:t xml:space="preserve">Pérdida de cambios o navegación inesperada.</x:t>
        </x:is>
      </x:c>
      <x:c r="J8" s="7" t="str">
        <x:v>Aprobado</x:v>
      </x:c>
      <x:c r="K8" s="7" t="str">
        <x:v>Coincide con el resultado esperado.</x:v>
      </x:c>
      <x:c r="L8" s="7" t="str">
        <x:v>Verificado manualmente por Pablo.</x:v>
      </x:c>
      <x:c r="M8" s="8" t="str">
        <x:v>01/09/2026</x:v>
      </x:c>
      <x:c r="N8" s="9" t="str">
        <x:v>Pablo</x:v>
      </x:c>
    </x:row>
    <x:row r="9" ht="27.600000381469727" customHeight="1">
      <x:c r="A9" s="33" t="inlineStr">
        <x:is>
          <x:t xml:space="preserve">ACC-008</x:t>
        </x:is>
      </x:c>
      <x:c r="B9" s="34" t="inlineStr">
        <x:is>
          <x:t xml:space="preserve">Alta</x:t>
        </x:is>
      </x:c>
      <x:c r="C9" s="35" t="inlineStr">
        <x:is>
          <x:t xml:space="preserve">Temporal</x:t>
        </x:is>
      </x:c>
      <x:c r="D9" s="36" t="inlineStr">
        <x:is>
          <x:t xml:space="preserve">Ocultar error luego de diez segundos</x:t>
        </x:is>
      </x:c>
      <x:c r="E9" s="36" t="inlineStr">
        <x:is>
          <x:t xml:space="preserve">Pantalla de acceso abierta.</x:t>
        </x:is>
      </x:c>
      <x:c r="F9" s="36" t="inlineStr">
        <x:is>
          <x:t xml:space="preserve">Credenciales incorrectas.</x:t>
        </x:is>
      </x:c>
      <x:c r="G9" s="36" t="inlineStr">
        <x:is>
          <x:t xml:space="preserve">1. Intentar ingresar.
2. Esperar 10 segundos.</x:t>
        </x:is>
      </x:c>
      <x:c r="H9" s="36" t="inlineStr">
        <x:is>
          <x:t xml:space="preserve">El aviso aparece y se retira automáticamente al cumplirse el tiempo.</x:t>
        </x:is>
      </x:c>
      <x:c r="I9" s="36" t="inlineStr">
        <x:is>
          <x:t xml:space="preserve">Aviso permanente que confunde intentos posteriores.</x:t>
        </x:is>
      </x:c>
      <x:c r="J9" s="36" t="str">
        <x:v>Aprobado</x:v>
      </x:c>
      <x:c r="K9" s="36" t="str">
        <x:v>Coincide con el resultado esperado.</x:v>
      </x:c>
      <x:c r="L9" s="36" t="str">
        <x:v>Verificado manualmente por Pablo.</x:v>
      </x:c>
      <x:c r="M9" s="37" t="str">
        <x:v>01/09/2026</x:v>
      </x:c>
      <x:c r="N9" s="38" t="str">
        <x:v>Pablo</x:v>
      </x:c>
    </x:row>
    <x:row r="10" ht="27.600000381469727" customHeight="1">
      <x:c r="A10" s="33" t="inlineStr">
        <x:is>
          <x:t xml:space="preserve">ACC-009</x:t>
        </x:is>
      </x:c>
      <x:c r="B10" s="34" t="inlineStr">
        <x:is>
          <x:t xml:space="preserve">Alta</x:t>
        </x:is>
      </x:c>
      <x:c r="C10" s="35" t="inlineStr">
        <x:is>
          <x:t xml:space="preserve">UX</x:t>
        </x:is>
      </x:c>
      <x:c r="D10" s="36" t="inlineStr">
        <x:is>
          <x:t xml:space="preserve">Reiniciar aviso al repetir un error</x:t>
        </x:is>
      </x:c>
      <x:c r="E10" s="36" t="inlineStr">
        <x:is>
          <x:t xml:space="preserve">Pantalla de acceso abierta.</x:t>
        </x:is>
      </x:c>
      <x:c r="F10" s="36" t="inlineStr">
        <x:is>
          <x:t xml:space="preserve">Repetir dos veces las mismas credenciales incorrectas.</x:t>
        </x:is>
      </x:c>
      <x:c r="G10" s="36" t="inlineStr">
        <x:is>
          <x:t xml:space="preserve">1. Fallar el ingreso.
2. Volver a presionar Ingresar antes de 10 segundos.</x:t>
        </x:is>
      </x:c>
      <x:c r="H10" s="36" t="inlineStr">
        <x:is>
          <x:t xml:space="preserve">El aviso vuelve a entrar rápidamente y su contador de diez segundos se reinicia.</x:t>
        </x:is>
      </x:c>
      <x:c r="I10" s="36" t="inlineStr">
        <x:is>
          <x:t xml:space="preserve">No distinguir un error nuevo del anterior.</x:t>
        </x:is>
      </x:c>
      <x:c r="J10" s="36" t="str">
        <x:v>Aprobado</x:v>
      </x:c>
      <x:c r="K10" s="36" t="str">
        <x:v>Coincide con el resultado esperado.</x:v>
      </x:c>
      <x:c r="L10" s="36" t="str">
        <x:v>Verificado manualmente por Pablo.</x:v>
      </x:c>
      <x:c r="M10" s="37" t="str">
        <x:v>01/09/2026</x:v>
      </x:c>
      <x:c r="N10" s="38" t="str">
        <x:v>Pablo</x:v>
      </x:c>
    </x:row>
    <x:row r="11" ht="41.400001525878906" customHeight="1">
      <x:c r="A11" s="33" t="inlineStr">
        <x:is>
          <x:t xml:space="preserve">ACC-010</x:t>
        </x:is>
      </x:c>
      <x:c r="B11" s="34" t="inlineStr">
        <x:is>
          <x:t xml:space="preserve">Media</x:t>
        </x:is>
      </x:c>
      <x:c r="C11" s="35" t="inlineStr">
        <x:is>
          <x:t xml:space="preserve">Accesibilidad</x:t>
        </x:is>
      </x:c>
      <x:c r="D11" s="36" t="inlineStr">
        <x:is>
          <x:t xml:space="preserve">Mantener control de contraseña visible</x:t>
        </x:is>
      </x:c>
      <x:c r="E11" s="36" t="inlineStr">
        <x:is>
          <x:t xml:space="preserve">Pantalla de acceso abierta.</x:t>
        </x:is>
      </x:c>
      <x:c r="F11" s="36" t="inlineStr">
        <x:is>
          <x:t xml:space="preserve">Contraseña incorrecta.</x:t>
        </x:is>
      </x:c>
      <x:c r="G11" s="36" t="inlineStr">
        <x:is>
          <x:t xml:space="preserve">1. Mostrar la contraseña.
2. Ocultarla.
3. Fallar el ingreso.</x:t>
        </x:is>
      </x:c>
      <x:c r="H11" s="36" t="inlineStr">
        <x:is>
          <x:t xml:space="preserve">El control Mostrar u Ocultar continúa visible y operativo después del error.</x:t>
        </x:is>
      </x:c>
      <x:c r="I11" s="36" t="inlineStr">
        <x:is>
          <x:t xml:space="preserve">Pérdida del control de visibilidad.</x:t>
        </x:is>
      </x:c>
      <x:c r="J11" s="36" t="str">
        <x:v>Aprobado</x:v>
      </x:c>
      <x:c r="K11" s="36" t="str">
        <x:v>Coincide con el resultado esperado.</x:v>
      </x:c>
      <x:c r="L11" s="36" t="str">
        <x:v>Verificado manualmente por Pablo.</x:v>
      </x:c>
      <x:c r="M11" s="37" t="str">
        <x:v>01/09/2026</x:v>
      </x:c>
      <x:c r="N11" s="38" t="str">
        <x:v>Pablo</x:v>
      </x:c>
    </x:row>
  </x:sheetData>
  <x:conditionalFormatting sqref="J2:J11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1"/>
  </x:dataValidations>
  <x:pageMargins left="0.7" right="0.7" top="0.75" bottom="0.75" header="0.3" footer="0.3"/>
  <x:tableParts count="1">
    <x:tablePart xmlns:r="http://schemas.openxmlformats.org/officeDocument/2006/relationships" r:id="Radfc2d67e88144c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REM-001</x:t>
        </x:is>
      </x:c>
      <x:c r="B2" s="10" t="inlineStr">
        <x:is>
          <x:t xml:space="preserve">Alta</x:t>
        </x:is>
      </x:c>
      <x:c r="C2" s="36" t="inlineStr">
        <x:is>
          <x:t xml:space="preserve">Positivo</x:t>
        </x:is>
      </x:c>
      <x:c r="D2" s="36" t="inlineStr">
        <x:is>
          <x:t xml:space="preserve">Guardar remate incompleto como borrador</x:t>
        </x:is>
      </x:c>
      <x:c r="E2" s="36" t="inlineStr">
        <x:is>
          <x:t xml:space="preserve">Panel &gt; Remates &gt; Agregar remate.</x:t>
        </x:is>
      </x:c>
      <x:c r="F2" s="36" t="inlineStr">
        <x:is>
          <x:t xml:space="preserve">Título: Borrador de prueba
Resto de campos: vacíos.</x:t>
        </x:is>
      </x:c>
      <x:c r="G2" s="36" t="inlineStr">
        <x:is>
          <x:t xml:space="preserve">1. Escribir el título.
2. Presionar Guardar borrador.
3. Volver al listado.</x:t>
        </x:is>
      </x:c>
      <x:c r="H2" s="36" t="inlineStr">
        <x:is>
          <x:t xml:space="preserve">Se guarda con estado Borrador sin exigir los campos de publicación.</x:t>
        </x:is>
      </x:c>
      <x:c r="I2" s="36" t="inlineStr">
        <x:is>
          <x:t xml:space="preserve">Imposibilidad de trabajar progresivamente.</x:t>
        </x:is>
      </x:c>
      <x:c r="J2" s="36" t="str">
        <x:v>Aprobado</x:v>
      </x:c>
      <x:c r="K2" s="36" t="str">
        <x:v>Coincidió con el resultado esperado.</x:v>
      </x:c>
      <x:c r="L2" s="36" t="str">
        <x:v>Resultado informado por Pablo; no se reejecutó en esta sesión.</x:v>
      </x:c>
      <x:c r="M2" s="39" t="n">
        <x:v>46265.5</x:v>
      </x:c>
      <x:c r="N2" s="38" t="str">
        <x:v>Pablo</x:v>
      </x:c>
    </x:row>
    <x:row r="3" ht="96" customHeight="1">
      <x:c r="A3" s="12" t="inlineStr">
        <x:is>
          <x:t xml:space="preserve">REM-002</x:t>
        </x:is>
      </x:c>
      <x:c r="B3" s="10" t="inlineStr">
        <x:is>
          <x:t xml:space="preserve">Alta</x:t>
        </x:is>
      </x:c>
      <x:c r="C3" s="36" t="inlineStr">
        <x:is>
          <x:t xml:space="preserve">Positivo</x:t>
        </x:is>
      </x:c>
      <x:c r="D3" s="36" t="inlineStr">
        <x:is>
          <x:t xml:space="preserve">Enviar carga incompleta a revisión</x:t>
        </x:is>
      </x:c>
      <x:c r="E3" s="36" t="inlineStr">
        <x:is>
          <x:t xml:space="preserve">Editar un borrador incompleto.</x:t>
        </x:is>
      </x:c>
      <x:c r="F3" s="36" t="inlineStr">
        <x:is>
          <x:t xml:space="preserve">Título: Remate rural pendiente
Descripción breve: Falta confirmar fecha y lugar.</x:t>
        </x:is>
      </x:c>
      <x:c r="G3" s="36" t="inlineStr">
        <x:is>
          <x:t xml:space="preserve">1. Completar solo esos datos.
2. Presionar Enviar a revisión.
3. Ir a Resumen.</x:t>
        </x:is>
      </x:c>
      <x:c r="H3" s="36" t="inlineStr">
        <x:is>
          <x:t xml:space="preserve">El remate queda En revisión y aparece en Remates para verificar.</x:t>
        </x:is>
      </x:c>
      <x:c r="I3" s="36" t="inlineStr">
        <x:is>
          <x:t xml:space="preserve">Precargas incompletas que se pierden.</x:t>
        </x:is>
      </x:c>
      <x:c r="J3" s="36" t="str">
        <x:v>Aprobado</x:v>
      </x:c>
      <x:c r="K3" s="36" t="str">
        <x:v>Coincidió con el resultado esperado.</x:v>
      </x:c>
      <x:c r="L3" s="36" t="str">
        <x:v>Resultado informado por Pablo; no se reejecutó en esta sesión.</x:v>
      </x:c>
      <x:c r="M3" s="39" t="n">
        <x:v>46265.5</x:v>
      </x:c>
      <x:c r="N3" s="38" t="str">
        <x:v>Pablo</x:v>
      </x:c>
    </x:row>
    <x:row r="4" ht="96" customHeight="1">
      <x:c r="A4" s="12" t="inlineStr">
        <x:is>
          <x:t xml:space="preserve">REM-003</x:t>
        </x:is>
      </x:c>
      <x:c r="B4" s="10" t="inlineStr">
        <x:is>
          <x:t xml:space="preserve">Alta</x:t>
        </x:is>
      </x:c>
      <x:c r="C4" s="36" t="inlineStr">
        <x:is>
          <x:t xml:space="preserve">Negativo</x:t>
        </x:is>
      </x:c>
      <x:c r="D4" s="36" t="inlineStr">
        <x:is>
          <x:t xml:space="preserve">Bloquear publicación sin obligatorios</x:t>
        </x:is>
      </x:c>
      <x:c r="E4" s="36" t="inlineStr">
        <x:is>
          <x:t xml:space="preserve">Editar un remate incompleto.</x:t>
        </x:is>
      </x:c>
      <x:c r="F4" s="36" t="inlineStr">
        <x:is>
          <x:t xml:space="preserve">Fecha, lugar, descripciones, requisitos y condiciones vacíos.</x:t>
        </x:is>
      </x:c>
      <x:c r="G4" s="36" t="inlineStr">
        <x:is>
          <x:t xml:space="preserve">1. Presionar Publicar remate.
2. Revisar todos los mensajes.</x:t>
        </x:is>
      </x:c>
      <x:c r="H4" s="36" t="inlineStr">
        <x:is>
          <x:t xml:space="preserve">No publica y señala cada dato obligatorio faltante.</x:t>
        </x:is>
      </x:c>
      <x:c r="I4" s="36" t="inlineStr">
        <x:is>
          <x:t xml:space="preserve">Publicación de eventos incompletos.</x:t>
        </x:is>
      </x:c>
      <x:c r="J4" s="36" t="str">
        <x:v>Aprobado</x:v>
      </x:c>
      <x:c r="K4" s="36" t="str">
        <x:v>Coincidió con el resultado esperado.</x:v>
      </x:c>
      <x:c r="L4" s="36" t="str">
        <x:v>Resultado informado por Pablo; no se reejecutó en esta sesión.</x:v>
      </x:c>
      <x:c r="M4" s="39" t="n">
        <x:v>46265.5</x:v>
      </x:c>
      <x:c r="N4" s="38" t="str">
        <x:v>Pablo</x:v>
      </x:c>
    </x:row>
    <x:row r="5" ht="96" customHeight="1">
      <x:c r="A5" s="12" t="inlineStr">
        <x:is>
          <x:t xml:space="preserve">REM-004</x:t>
        </x:is>
      </x:c>
      <x:c r="B5" s="10" t="inlineStr">
        <x:is>
          <x:t xml:space="preserve">Alta</x:t>
        </x:is>
      </x:c>
      <x:c r="C5" s="36" t="inlineStr">
        <x:is>
          <x:t xml:space="preserve">Positivo</x:t>
        </x:is>
      </x:c>
      <x:c r="D5" s="36" t="inlineStr">
        <x:is>
          <x:t xml:space="preserve">Publicar un remate completo</x:t>
        </x:is>
      </x:c>
      <x:c r="E5" s="36" t="inlineStr">
        <x:is>
          <x:t xml:space="preserve">Crear un remate nuevo.</x:t>
        </x:is>
      </x:c>
      <x:c r="F5" s="36" t="inlineStr">
        <x:is>
          <x:t xml:space="preserve">Usar la columna Caso base de la hoja Datos de prueba.</x:t>
        </x:is>
      </x:c>
      <x:c r="G5" s="36" t="inlineStr">
        <x:is>
          <x:t xml:space="preserve">1. Copiar todos los datos obligatorios.
2. Presionar Publicar remate.
3. Abrir la web pública.</x:t>
        </x:is>
      </x:c>
      <x:c r="H5" s="36" t="inlineStr">
        <x:is>
          <x:t xml:space="preserve">Publica correctamente y el remate aparece en la web pública.</x:t>
        </x:is>
      </x:c>
      <x:c r="I5" s="36" t="inlineStr">
        <x:is>
          <x:t xml:space="preserve">Publicación válida bloqueada o datos públicos incompletos.</x:t>
        </x:is>
      </x:c>
      <x:c r="J5" s="36" t="str">
        <x:v>Aprobado</x:v>
      </x:c>
      <x:c r="K5" s="36" t="str">
        <x:v>Coincidió con el resultado esperado.</x:v>
      </x:c>
      <x:c r="L5" s="36" t="str">
        <x:v>Resultado informado por Pablo; no se reejecutó en esta sesión.</x:v>
      </x:c>
      <x:c r="M5" s="39" t="n">
        <x:v>46265.5</x:v>
      </x:c>
      <x:c r="N5" s="38" t="str">
        <x:v>Pablo</x:v>
      </x:c>
    </x:row>
    <x:row r="6" ht="96" customHeight="1">
      <x:c r="A6" s="12" t="inlineStr">
        <x:is>
          <x:t xml:space="preserve">REM-005</x:t>
        </x:is>
      </x:c>
      <x:c r="B6" s="10" t="inlineStr">
        <x:is>
          <x:t xml:space="preserve">Alta</x:t>
        </x:is>
      </x:c>
      <x:c r="C6" s="36" t="inlineStr">
        <x:is>
          <x:t xml:space="preserve">Derivación</x:t>
        </x:is>
      </x:c>
      <x:c r="D6" s="36" t="inlineStr">
        <x:is>
          <x:t xml:space="preserve">Generar fecha resumida automáticamente</x:t>
        </x:is>
      </x:c>
      <x:c r="E6" s="36" t="inlineStr">
        <x:is>
          <x:t xml:space="preserve">Crear o editar un remate.</x:t>
        </x:is>
      </x:c>
      <x:c r="F6" s="36" t="inlineStr">
        <x:is>
          <x:t xml:space="preserve">Fecha y hora: 15/08/2026 15:00</x:t>
        </x:is>
      </x:c>
      <x:c r="G6" s="36" t="inlineStr">
        <x:is>
          <x:t xml:space="preserve">1. Guardar/publicar.
2. Revisar la tabla del panel y la tarjeta pública.</x:t>
        </x:is>
      </x:c>
      <x:c r="H6" s="36" t="inlineStr">
        <x:is>
          <x:t xml:space="preserve">La fecha corta aparece como 15 AGO · 15:00 sin haberla cargado por separado.</x:t>
        </x:is>
      </x:c>
      <x:c r="I6" s="36" t="inlineStr">
        <x:is>
          <x:t xml:space="preserve">Datos duplicados o fecha pública inconsistente.</x:t>
        </x:is>
      </x:c>
      <x:c r="J6" s="36" t="str">
        <x:v>Aprobado</x:v>
      </x:c>
      <x:c r="K6" s="36" t="str">
        <x:v>Coincidió con el resultado esperado.</x:v>
      </x:c>
      <x:c r="L6" s="36" t="str">
        <x:v>Resultado informado por Pablo; no se reejecutó en esta sesión.</x:v>
      </x:c>
      <x:c r="M6" s="39" t="n">
        <x:v>46265.5</x:v>
      </x:c>
      <x:c r="N6" s="38" t="str">
        <x:v>Pablo</x:v>
      </x:c>
    </x:row>
    <x:row r="7" ht="96" customHeight="1">
      <x:c r="A7" s="12" t="inlineStr">
        <x:is>
          <x:t xml:space="preserve">REM-006</x:t>
        </x:is>
      </x:c>
      <x:c r="B7" s="10" t="inlineStr">
        <x:is>
          <x:t xml:space="preserve">Media</x:t>
        </x:is>
      </x:c>
      <x:c r="C7" s="36" t="inlineStr">
        <x:is>
          <x:t xml:space="preserve">Extremo</x:t>
        </x:is>
      </x:c>
      <x:c r="D7" s="36" t="inlineStr">
        <x:is>
          <x:t xml:space="preserve">Fecha con un dígito y setiembre</x:t>
        </x:is>
      </x:c>
      <x:c r="E7" s="36" t="inlineStr">
        <x:is>
          <x:t xml:space="preserve">Crear un remate publicable.</x:t>
        </x:is>
      </x:c>
      <x:c r="F7" s="36" t="inlineStr">
        <x:is>
          <x:t xml:space="preserve">Fecha completa: Viernes 5 de setiembre · 09:05 · Predio Norte</x:t>
        </x:is>
      </x:c>
      <x:c r="G7" s="36" t="inlineStr">
        <x:is>
          <x:t xml:space="preserve">1. Guardar.
2. Revisar la fecha resumida.</x:t>
        </x:is>
      </x:c>
      <x:c r="H7" s="36" t="inlineStr">
        <x:is>
          <x:t xml:space="preserve">Se muestra 05 SEP · 09:05.</x:t>
        </x:is>
      </x:c>
      <x:c r="I7" s="36" t="inlineStr">
        <x:is>
          <x:t xml:space="preserve">Formato incorrecto en días o variante setiembre.</x:t>
        </x:is>
      </x:c>
      <x:c r="J7" s="36" t="str">
        <x:v>Aprobado</x:v>
      </x:c>
      <x:c r="K7" s="36" t="str">
        <x:v>Coincidió con el resultado esperado.</x:v>
      </x:c>
      <x:c r="L7" s="36" t="str">
        <x:v>Resultado informado por Pablo; no se reejecutó en esta sesión.</x:v>
      </x:c>
      <x:c r="M7" s="39" t="n">
        <x:v>46265.5</x:v>
      </x:c>
      <x:c r="N7" s="38" t="str">
        <x:v>Pablo</x:v>
      </x:c>
    </x:row>
    <x:row r="8" ht="96" customHeight="1">
      <x:c r="A8" s="12" t="inlineStr">
        <x:is>
          <x:t xml:space="preserve">REM-007</x:t>
        </x:is>
      </x:c>
      <x:c r="B8" s="10" t="inlineStr">
        <x:is>
          <x:t xml:space="preserve">Media</x:t>
        </x:is>
      </x:c>
      <x:c r="C8" s="36" t="inlineStr">
        <x:is>
          <x:t xml:space="preserve">Riesgo</x:t>
        </x:is>
      </x:c>
      <x:c r="D8" s="36" t="inlineStr">
        <x:is>
          <x:t xml:space="preserve">Fecha con formato no reconocido</x:t>
        </x:is>
      </x:c>
      <x:c r="E8" s="36" t="inlineStr">
        <x:is>
          <x:t xml:space="preserve">Crear un borrador.</x:t>
        </x:is>
      </x:c>
      <x:c r="F8" s="36" t="inlineStr">
        <x:is>
          <x:t xml:space="preserve">Fecha completa: Fecha a confirmar durante octubre</x:t>
        </x:is>
      </x:c>
      <x:c r="G8" s="36" t="inlineStr">
        <x:is>
          <x:t xml:space="preserve">1. Guardar borrador.
2. Revisar el listado.</x:t>
        </x:is>
      </x:c>
      <x:c r="H8" s="36" t="inlineStr">
        <x:is>
          <x:t xml:space="preserve">No se rompe la interfaz; se conserva el texto. Registrar si la presentación resulta aceptable.</x:t>
        </x:is>
      </x:c>
      <x:c r="I8" s="36" t="inlineStr">
        <x:is>
          <x:t xml:space="preserve">Entrada libre difícil de convertir.</x:t>
        </x:is>
      </x:c>
      <x:c r="J8" s="36" t="str">
        <x:v>Aprobado</x:v>
      </x:c>
      <x:c r="K8" s="36" t="str">
        <x:v>Coincidió con el resultado esperado.</x:v>
      </x:c>
      <x:c r="L8" s="36" t="str">
        <x:v>Resultado informado por Pablo; no se reejecutó en esta sesión.</x:v>
      </x:c>
      <x:c r="M8" s="39" t="n">
        <x:v>46265.5</x:v>
      </x:c>
      <x:c r="N8" s="38" t="str">
        <x:v>Pablo</x:v>
      </x:c>
    </x:row>
    <x:row r="9" ht="96" customHeight="1">
      <x:c r="A9" s="12" t="inlineStr">
        <x:is>
          <x:t xml:space="preserve">REM-008</x:t>
        </x:is>
      </x:c>
      <x:c r="B9" s="10" t="inlineStr">
        <x:is>
          <x:t xml:space="preserve">Media</x:t>
        </x:is>
      </x:c>
      <x:c r="C9" s="36" t="inlineStr">
        <x:is>
          <x:t xml:space="preserve">Positivo</x:t>
        </x:is>
      </x:c>
      <x:c r="D9" s="36" t="inlineStr">
        <x:is>
          <x:t xml:space="preserve">Generación automática del slug</x:t>
        </x:is>
      </x:c>
      <x:c r="E9" s="36" t="inlineStr">
        <x:is>
          <x:t xml:space="preserve">Crear un remate nuevo con slug inicialmente vacío.</x:t>
        </x:is>
      </x:c>
      <x:c r="F9" s="36" t="inlineStr">
        <x:is>
          <x:t xml:space="preserve">Título: Remate de vehículos y camiones 2027</x:t>
        </x:is>
      </x:c>
      <x:c r="G9" s="36" t="inlineStr">
        <x:is>
          <x:t xml:space="preserve">1. Escribir el título.
2. Revisar Ruta o slug.</x:t>
        </x:is>
      </x:c>
      <x:c r="H9" s="36" t="inlineStr">
        <x:is>
          <x:t xml:space="preserve">Se genera remate-de-vehiculos-y-camiones-2027.</x:t>
        </x:is>
      </x:c>
      <x:c r="I9" s="36" t="inlineStr">
        <x:is>
          <x:t xml:space="preserve">URL inválida o dependiente de tildes.</x:t>
        </x:is>
      </x:c>
      <x:c r="J9" s="36" t="str">
        <x:v>Aprobado</x:v>
      </x:c>
      <x:c r="K9" s="36" t="str">
        <x:v>El slug se generó como remate-de-vehiculos-y-camiones-2027.</x:v>
      </x:c>
      <x:c r="L9" s="36" t="str"/>
      <x:c r="M9" s="39" t="n">
        <x:v>46265.5</x:v>
      </x:c>
      <x:c r="N9" s="38" t="str">
        <x:v>Codex</x:v>
      </x:c>
    </x:row>
    <x:row r="10" ht="96" customHeight="1">
      <x:c r="A10" s="12" t="inlineStr">
        <x:is>
          <x:t xml:space="preserve">REM-009</x:t>
        </x:is>
      </x:c>
      <x:c r="B10" s="10" t="inlineStr">
        <x:is>
          <x:t xml:space="preserve">Alta</x:t>
        </x:is>
      </x:c>
      <x:c r="C10" s="36" t="inlineStr">
        <x:is>
          <x:t xml:space="preserve">Riesgo</x:t>
        </x:is>
      </x:c>
      <x:c r="D10" s="36" t="inlineStr">
        <x:is>
          <x:t xml:space="preserve">Slug duplicado</x:t>
        </x:is>
      </x:c>
      <x:c r="E10" s="36" t="inlineStr">
        <x:is>
          <x:t xml:space="preserve">Debe existir un remate con slug mobiliario-y-antiguedades.</x:t>
        </x:is>
      </x:c>
      <x:c r="F10" s="36" t="inlineStr">
        <x:is>
          <x:t xml:space="preserve">Nuevo remate con el mismo slug: mobiliario-y-antiguedades.</x:t>
        </x:is>
      </x:c>
      <x:c r="G10" s="36" t="inlineStr">
        <x:is>
          <x:t xml:space="preserve">1. Crear y completar el segundo remate.
2. Intentar publicarlo.
3. Abrir la URL.</x:t>
        </x:is>
      </x:c>
      <x:c r="H10" s="36" t="inlineStr">
        <x:is>
          <x:t xml:space="preserve">El sistema debería impedir duplicados. Si permite publicar, marcar Falló y comentar qué remate abre.</x:t>
        </x:is>
      </x:c>
      <x:c r="I10" s="36" t="inlineStr">
        <x:is>
          <x:t xml:space="preserve">Dos remates compitiendo por la misma URL.</x:t>
        </x:is>
      </x:c>
      <x:c r="J10" s="36" t="str">
        <x:v>Aprobado</x:v>
      </x:c>
      <x:c r="K10" s="36" t="str">
        <x:v>El segundo remate recibió automáticamente el sufijo -2 y el slug no fue editable.</x:v>
      </x:c>
      <x:c r="L10" s="36" t="str">
        <x:v>Se evitó la colisión antes de publicar.</x:v>
      </x:c>
      <x:c r="M10" s="39" t="n">
        <x:v>46265.5</x:v>
      </x:c>
      <x:c r="N10" s="38" t="str">
        <x:v>Codex</x:v>
      </x:c>
    </x:row>
    <x:row r="11" ht="96" customHeight="1">
      <x:c r="A11" s="12" t="inlineStr">
        <x:is>
          <x:t xml:space="preserve">REM-010</x:t>
        </x:is>
      </x:c>
      <x:c r="B11" s="10" t="inlineStr">
        <x:is>
          <x:t xml:space="preserve">Media</x:t>
        </x:is>
      </x:c>
      <x:c r="C11" s="36" t="inlineStr">
        <x:is>
          <x:t xml:space="preserve">Edición</x:t>
        </x:is>
      </x:c>
      <x:c r="D11" s="36" t="inlineStr">
        <x:is>
          <x:t xml:space="preserve">Editar un remate publicado</x:t>
        </x:is>
      </x:c>
      <x:c r="E11" s="36" t="inlineStr">
        <x:is>
          <x:t xml:space="preserve">Tener un remate publicado.</x:t>
        </x:is>
      </x:c>
      <x:c r="F11" s="36" t="inlineStr">
        <x:is>
          <x:t xml:space="preserve">Cambiar lugar a: Nuevo Salón · Av. Italia 2450
Cambiar descripción breve a: Ubicación actualizada.</x:t>
        </x:is>
      </x:c>
      <x:c r="G11" s="36" t="inlineStr">
        <x:is>
          <x:t xml:space="preserve">1. Editar.
2. Publicar nuevamente.
3. Revisar tarjeta y detalle.</x:t>
        </x:is>
      </x:c>
      <x:c r="H11" s="36" t="inlineStr">
        <x:is>
          <x:t xml:space="preserve">Los cambios aparecen en el panel y en la web pública después de guardar.</x:t>
        </x:is>
      </x:c>
      <x:c r="I11" s="36" t="inlineStr">
        <x:is>
          <x:t xml:space="preserve">Contenido desactualizado.</x:t>
        </x:is>
      </x:c>
      <x:c r="J11" s="36" t="str">
        <x:v>Falló</x:v>
      </x:c>
      <x:c r="K11" s="36" t="str">
        <x:v>El panel guardó el lugar resumido y la descripción breve, pero el detalle público no mostró esos cambios.</x:v>
      </x:c>
      <x:c r="L11" s="36" t="str">
        <x:v>El detalle utiliza la ubicación detallada y la descripción completa; revisar la expectativa o la implementación.</x:v>
      </x:c>
      <x:c r="M11" s="39" t="n">
        <x:v>46265.5</x:v>
      </x:c>
      <x:c r="N11" s="38" t="str">
        <x:v>Codex</x:v>
      </x:c>
    </x:row>
    <x:row r="12" ht="96" customHeight="1">
      <x:c r="A12" s="12" t="inlineStr">
        <x:is>
          <x:t xml:space="preserve">REM-011</x:t>
        </x:is>
      </x:c>
      <x:c r="B12" s="10" t="inlineStr">
        <x:is>
          <x:t xml:space="preserve">Alta</x:t>
        </x:is>
      </x:c>
      <x:c r="C12" s="36" t="inlineStr">
        <x:is>
          <x:t xml:space="preserve">Estado</x:t>
        </x:is>
      </x:c>
      <x:c r="D12" s="36" t="inlineStr">
        <x:is>
          <x:t xml:space="preserve">Finalizar un remate publicado</x:t>
        </x:is>
      </x:c>
      <x:c r="E12" s="36" t="inlineStr">
        <x:is>
          <x:t xml:space="preserve">Tener un remate publicado visible en la web.</x:t>
        </x:is>
      </x:c>
      <x:c r="F12" s="36" t="inlineStr">
        <x:is>
          <x:t xml:space="preserve">Usar el botón Finalizar y aceptar la confirmación.</x:t>
        </x:is>
      </x:c>
      <x:c r="G12" s="36" t="inlineStr">
        <x:is>
          <x:t xml:space="preserve">1. Presionar Finalizar.
2. Verificar el mensaje y confirmar.
3. Recargar la home.
4. Intentar abrir su URL.</x:t>
        </x:is>
      </x:c>
      <x:c r="H12" s="36" t="inlineStr">
        <x:is>
          <x:t xml:space="preserve">Solicita confirmación; al aceptarla queda Finalizado, deja de aparecer públicamente y su detalle muestra remate no encontrado.</x:t>
        </x:is>
      </x:c>
      <x:c r="I12" s="36" t="inlineStr">
        <x:is>
          <x:t xml:space="preserve">Eventos finalizados todavía promocionados.</x:t>
        </x:is>
      </x:c>
      <x:c r="J12" s="36" t="str">
        <x:v>Aprobado</x:v>
      </x:c>
      <x:c r="K12" s="36" t="str">
        <x:v>El remate quedó Finalizado, desapareció de la home y su URL dejó de mostrar el detalle.</x:v>
      </x:c>
      <x:c r="L12" s="36" t="str"/>
      <x:c r="M12" s="39" t="n">
        <x:v>46265.5</x:v>
      </x:c>
      <x:c r="N12" s="38" t="str">
        <x:v>Codex</x:v>
      </x:c>
    </x:row>
    <x:row r="13" ht="96" customHeight="1">
      <x:c r="A13" s="12" t="inlineStr">
        <x:is>
          <x:t xml:space="preserve">REM-012</x:t>
        </x:is>
      </x:c>
      <x:c r="B13" s="10" t="inlineStr">
        <x:is>
          <x:t xml:space="preserve">Alta</x:t>
        </x:is>
      </x:c>
      <x:c r="C13" s="36" t="inlineStr">
        <x:is>
          <x:t xml:space="preserve">Eliminación</x:t>
        </x:is>
      </x:c>
      <x:c r="D13" s="36" t="inlineStr">
        <x:is>
          <x:t xml:space="preserve">Cancelar eliminación</x:t>
        </x:is>
      </x:c>
      <x:c r="E13" s="36" t="inlineStr">
        <x:is>
          <x:t xml:space="preserve">Tener un borrador prescindible.</x:t>
        </x:is>
      </x:c>
      <x:c r="F13" s="36" t="inlineStr">
        <x:is>
          <x:t xml:space="preserve">Borrador: NO BORRAR - prueba cancelar.</x:t>
        </x:is>
      </x:c>
      <x:c r="G13" s="36" t="inlineStr">
        <x:is>
          <x:t xml:space="preserve">1. Presionar Eliminar.
2. Elegir Cancelar.</x:t>
        </x:is>
      </x:c>
      <x:c r="H13" s="36" t="inlineStr">
        <x:is>
          <x:t xml:space="preserve">El remate permanece en el listado sin cambios.</x:t>
        </x:is>
      </x:c>
      <x:c r="I13" s="36" t="inlineStr">
        <x:is>
          <x:t xml:space="preserve">Borrado accidental.</x:t>
        </x:is>
      </x:c>
      <x:c r="J13" s="36" t="str">
        <x:v>Aprobado</x:v>
      </x:c>
      <x:c r="K13" s="36" t="str">
        <x:v>Al rechazar la confirmación, el borrador permaneció sin cambios.</x:v>
      </x:c>
      <x:c r="L13" s="36" t="str"/>
      <x:c r="M13" s="39" t="n">
        <x:v>46265.5</x:v>
      </x:c>
      <x:c r="N13" s="38" t="str">
        <x:v>Codex</x:v>
      </x:c>
    </x:row>
    <x:row r="14" ht="96" customHeight="1">
      <x:c r="A14" s="12" t="inlineStr">
        <x:is>
          <x:t xml:space="preserve">REM-013</x:t>
        </x:is>
      </x:c>
      <x:c r="B14" s="10" t="inlineStr">
        <x:is>
          <x:t xml:space="preserve">Alta</x:t>
        </x:is>
      </x:c>
      <x:c r="C14" s="36" t="inlineStr">
        <x:is>
          <x:t xml:space="preserve">Eliminación</x:t>
        </x:is>
      </x:c>
      <x:c r="D14" s="36" t="inlineStr">
        <x:is>
          <x:t xml:space="preserve">Confirmar eliminación</x:t>
        </x:is>
      </x:c>
      <x:c r="E14" s="36" t="inlineStr">
        <x:is>
          <x:t xml:space="preserve">Crear un borrador exclusivo para esta prueba.</x:t>
        </x:is>
      </x:c>
      <x:c r="F14" s="36" t="inlineStr">
        <x:is>
          <x:t xml:space="preserve">Título: BORRAR - caso REM-013.</x:t>
        </x:is>
      </x:c>
      <x:c r="G14" s="36" t="inlineStr">
        <x:is>
          <x:t xml:space="preserve">1. Presionar Eliminar.
2. Confirmar.
3. Recargar.</x:t>
        </x:is>
      </x:c>
      <x:c r="H14" s="36" t="inlineStr">
        <x:is>
          <x:t xml:space="preserve">Desaparece del listado y no vuelve tras recargar.</x:t>
        </x:is>
      </x:c>
      <x:c r="I14" s="36" t="inlineStr">
        <x:is>
          <x:t xml:space="preserve">Registros eliminados que reaparecen.</x:t>
        </x:is>
      </x:c>
      <x:c r="J14" s="36" t="str">
        <x:v>Aprobado</x:v>
      </x:c>
      <x:c r="K14" s="36" t="str">
        <x:v>Al confirmar, el borrador desapareció y no volvió después de recargar.</x:v>
      </x:c>
      <x:c r="L14" s="36" t="str"/>
      <x:c r="M14" s="39" t="n">
        <x:v>46265.5</x:v>
      </x:c>
      <x:c r="N14" s="38" t="str">
        <x:v>Codex</x:v>
      </x:c>
    </x:row>
    <x:row r="15" ht="96" customHeight="1">
      <x:c r="A15" s="12" t="inlineStr">
        <x:is>
          <x:t xml:space="preserve">REM-014</x:t>
        </x:is>
      </x:c>
      <x:c r="B15" s="10" t="inlineStr">
        <x:is>
          <x:t xml:space="preserve">Alta</x:t>
        </x:is>
      </x:c>
      <x:c r="C15" s="36" t="inlineStr">
        <x:is>
          <x:t xml:space="preserve">Persistencia</x:t>
        </x:is>
      </x:c>
      <x:c r="D15" s="36" t="inlineStr">
        <x:is>
          <x:t xml:space="preserve">Conservar datos al recargar</x:t>
        </x:is>
      </x:c>
      <x:c r="E15" s="36" t="inlineStr">
        <x:is>
          <x:t xml:space="preserve">Guardar un borrador nuevo.</x:t>
        </x:is>
      </x:c>
      <x:c r="F15" s="36" t="inlineStr">
        <x:is>
          <x:t xml:space="preserve">Título: Persistencia F5
Lugar: Salón persistente.</x:t>
        </x:is>
      </x:c>
      <x:c r="G15" s="36" t="inlineStr">
        <x:is>
          <x:t xml:space="preserve">1. Guardar borrador.
2. Recargar con F5.
3. Volver a Remates.</x:t>
        </x:is>
      </x:c>
      <x:c r="H15" s="36" t="inlineStr">
        <x:is>
          <x:t xml:space="preserve">El borrador y sus datos siguen disponibles en el mismo navegador.</x:t>
        </x:is>
      </x:c>
      <x:c r="I15" s="36" t="inlineStr">
        <x:is>
          <x:t xml:space="preserve">Pérdida de datos por localStorage.</x:t>
        </x:is>
      </x:c>
      <x:c r="J15" s="36" t="str">
        <x:v>Aprobado</x:v>
      </x:c>
      <x:c r="K15" s="36" t="str">
        <x:v>El borrador y el lugar guardado permanecieron después de recargar.</x:v>
      </x:c>
      <x:c r="L15" s="36" t="str"/>
      <x:c r="M15" s="39" t="n">
        <x:v>46265.5</x:v>
      </x:c>
      <x:c r="N15" s="38" t="str">
        <x:v>Codex</x:v>
      </x:c>
    </x:row>
    <x:row r="16" ht="96" customHeight="1">
      <x:c r="A16" s="12" t="inlineStr">
        <x:is>
          <x:t xml:space="preserve">REM-015</x:t>
        </x:is>
      </x:c>
      <x:c r="B16" s="10" t="inlineStr">
        <x:is>
          <x:t xml:space="preserve">Media</x:t>
        </x:is>
      </x:c>
      <x:c r="C16" s="36" t="inlineStr">
        <x:is>
          <x:t xml:space="preserve">Ayuda</x:t>
        </x:is>
      </x:c>
      <x:c r="D16" s="36" t="inlineStr">
        <x:is>
          <x:t xml:space="preserve">Ayudas de los campos con mouse</x:t>
        </x:is>
      </x:c>
      <x:c r="E16" s="36" t="inlineStr">
        <x:is>
          <x:t xml:space="preserve">Abrir el creador de remate en escritorio.</x:t>
        </x:is>
      </x:c>
      <x:c r="F16" s="36" t="inlineStr">
        <x:is>
          <x:t xml:space="preserve">Posarse sobre ?: Título, Fecha y hora completas, Estado del catálogo y Condiciones.</x:t>
        </x:is>
      </x:c>
      <x:c r="G16" s="36" t="inlineStr">
        <x:is>
          <x:t xml:space="preserve">1. Pasar el mouse por cada ícono.
2. Leer el texto.
3. Mover el mouse fuera.</x:t>
        </x:is>
      </x:c>
      <x:c r="H16" s="36" t="inlineStr">
        <x:is>
          <x:t xml:space="preserve">Cada ayuda aparece, corresponde al campo y desaparece sin tapar el input de forma permanente.</x:t>
        </x:is>
      </x:c>
      <x:c r="I16" s="36" t="inlineStr">
        <x:is>
          <x:t xml:space="preserve">Carga incorrecta por falta de contexto.</x:t>
        </x:is>
      </x:c>
      <x:c r="J16" s="36" t="str">
        <x:v>Aprobado</x:v>
      </x:c>
      <x:c r="K16" s="36" t="str">
        <x:v>Las ayudas de Título, Fecha, Estado del catálogo y Condiciones aparecieron con el mouse y desaparecieron al salir.</x:v>
      </x:c>
      <x:c r="L16" s="36" t="str"/>
      <x:c r="M16" s="39" t="n">
        <x:v>46265.5</x:v>
      </x:c>
      <x:c r="N16" s="38" t="str">
        <x:v>Codex</x:v>
      </x:c>
    </x:row>
    <x:row r="17" ht="96" customHeight="1">
      <x:c r="A17" s="12" t="inlineStr">
        <x:is>
          <x:t xml:space="preserve">REM-016</x:t>
        </x:is>
      </x:c>
      <x:c r="B17" s="10" t="inlineStr">
        <x:is>
          <x:t xml:space="preserve">Media</x:t>
        </x:is>
      </x:c>
      <x:c r="C17" s="36" t="inlineStr">
        <x:is>
          <x:t xml:space="preserve">Ayuda</x:t>
        </x:is>
      </x:c>
      <x:c r="D17" s="36" t="inlineStr">
        <x:is>
          <x:t xml:space="preserve">Ayudas de los campos con teclado</x:t>
        </x:is>
      </x:c>
      <x:c r="E17" s="36" t="inlineStr">
        <x:is>
          <x:t xml:space="preserve">Abrir el creador de remate.</x:t>
        </x:is>
      </x:c>
      <x:c r="F17" s="36" t="inlineStr">
        <x:is>
          <x:t xml:space="preserve">Usar Tab y Shift+Tab.</x:t>
        </x:is>
      </x:c>
      <x:c r="G17" s="36" t="inlineStr">
        <x:is>
          <x:t xml:space="preserve">1. Navegar hasta varios íconos ?.
2. Verificar la ayuda enfocada.
3. Continuar con Tab.</x:t>
        </x:is>
      </x:c>
      <x:c r="H17" s="36" t="inlineStr">
        <x:is>
          <x:t xml:space="preserve">La explicación aparece al enfocar y el foco es visible.</x:t>
        </x:is>
      </x:c>
      <x:c r="I17" s="36" t="inlineStr">
        <x:is>
          <x:t xml:space="preserve">Ayudas inaccesibles sin mouse.</x:t>
        </x:is>
      </x:c>
      <x:c r="J17" s="36" t="str">
        <x:v>Aprobado</x:v>
      </x:c>
      <x:c r="K17" s="36" t="str">
        <x:v>Las ayudas reciben foco, muestran la explicación correcta y permiten continuar la navegación.</x:v>
      </x:c>
      <x:c r="L17" s="36" t="str">
        <x:v>Verificado manualmente por Pablo.</x:v>
      </x:c>
      <x:c r="M17" s="39" t="n">
        <x:v>46265.5</x:v>
      </x:c>
      <x:c r="N17" s="38" t="str">
        <x:v>Pablo</x:v>
      </x:c>
    </x:row>
    <x:row r="18" ht="96" customHeight="1">
      <x:c r="A18" s="12" t="inlineStr">
        <x:is>
          <x:t xml:space="preserve">REM-017</x:t>
        </x:is>
      </x:c>
      <x:c r="B18" s="10" t="inlineStr">
        <x:is>
          <x:t xml:space="preserve">Media</x:t>
        </x:is>
      </x:c>
      <x:c r="C18" s="36" t="inlineStr">
        <x:is>
          <x:t xml:space="preserve">Extremo</x:t>
        </x:is>
      </x:c>
      <x:c r="D18" s="36" t="inlineStr">
        <x:is>
          <x:t xml:space="preserve">Textos con tildes y caracteres especiales</x:t>
        </x:is>
      </x:c>
      <x:c r="E18" s="36" t="inlineStr">
        <x:is>
          <x:t xml:space="preserve">Crear un remate publicable.</x:t>
        </x:is>
      </x:c>
      <x:c r="F18" s="36" t="inlineStr">
        <x:is>
          <x:t xml:space="preserve">Título: Ómnibus, camiones &amp; maquinaria – edición Nº 2
Descripción: Piezas únicas; comisión 12,5%.</x:t>
        </x:is>
      </x:c>
      <x:c r="G18" s="36" t="inlineStr">
        <x:is>
          <x:t xml:space="preserve">1. Guardar.
2. Revisar panel, tarjeta y detalle.</x:t>
        </x:is>
      </x:c>
      <x:c r="H18" s="36" t="inlineStr">
        <x:is>
          <x:t xml:space="preserve">Los caracteres se conservan correctamente, sin símbolos de reemplazo.</x:t>
        </x:is>
      </x:c>
      <x:c r="I18" s="36" t="inlineStr">
        <x:is>
          <x:t xml:space="preserve">Corrupción UTF-8.</x:t>
        </x:is>
      </x:c>
      <x:c r="J18" s="36" t="str">
        <x:v>Aprobado</x:v>
      </x:c>
      <x:c r="K18" s="36" t="str">
        <x:v>Las tildes, &amp;, raya, Nº y 12,5% se conservaron en el panel y el detalle público.</x:v>
      </x:c>
      <x:c r="L18" s="36" t="str"/>
      <x:c r="M18" s="39" t="n">
        <x:v>46265.5</x:v>
      </x:c>
      <x:c r="N18" s="38" t="str">
        <x:v>Codex</x:v>
      </x:c>
    </x:row>
    <x:row r="19" ht="96" customHeight="1">
      <x:c r="A19" s="13" t="inlineStr">
        <x:is>
          <x:t xml:space="preserve">REM-018</x:t>
        </x:is>
      </x:c>
      <x:c r="B19" s="11" t="inlineStr">
        <x:is>
          <x:t xml:space="preserve">Media</x:t>
        </x:is>
      </x:c>
      <x:c r="C19" s="7" t="inlineStr">
        <x:is>
          <x:t xml:space="preserve">Recuperación</x:t>
        </x:is>
      </x:c>
      <x:c r="D19" s="7" t="inlineStr">
        <x:is>
          <x:t xml:space="preserve">Restablecer datos de demostración</x:t>
        </x:is>
      </x:c>
      <x:c r="E19" s="7" t="inlineStr">
        <x:is>
          <x:t xml:space="preserve">Crear primero un borrador identificable.</x:t>
        </x:is>
      </x:c>
      <x:c r="F19" s="7" t="inlineStr">
        <x:is>
          <x:t xml:space="preserve">Título: Se eliminará al restablecer.</x:t>
        </x:is>
      </x:c>
      <x:c r="G19" s="7" t="inlineStr">
        <x:is>
          <x:t xml:space="preserve">1. Presionar Restablecer datos.
2. Cancelar y verificar que sigue.
3. Repetir y confirmar.</x:t>
        </x:is>
      </x:c>
      <x:c r="H19" s="7" t="inlineStr">
        <x:is>
          <x:t xml:space="preserve">Cancelar no cambia nada. Confirmar restaura los datos iniciales y elimina cambios locales.</x:t>
        </x:is>
      </x:c>
      <x:c r="I19" s="7" t="inlineStr">
        <x:is>
          <x:t xml:space="preserve">Restablecimiento accidental o incompleto.</x:t>
        </x:is>
      </x:c>
      <x:c r="J19" s="7" t="str">
        <x:v>Aprobado</x:v>
      </x:c>
      <x:c r="K19" s="7" t="str">
        <x:v>Cancelar no alteró los datos; confirmar restauró la demostración y eliminó los cambios locales.</x:v>
      </x:c>
      <x:c r="L19" s="7" t="str"/>
      <x:c r="M19" s="40" t="n">
        <x:v>46265.5</x:v>
      </x:c>
      <x:c r="N19" s="9" t="str">
        <x:v>Codex</x:v>
      </x:c>
    </x:row>
    <x:row r="20" ht="27.600000381469727" customHeight="1">
      <x:c r="A20" s="33" t="inlineStr">
        <x:is>
          <x:t xml:space="preserve">REM-019</x:t>
        </x:is>
      </x:c>
      <x:c r="B20" s="34" t="inlineStr">
        <x:is>
          <x:t xml:space="preserve">Alta</x:t>
        </x:is>
      </x:c>
      <x:c r="C20" s="35" t="inlineStr">
        <x:is>
          <x:t xml:space="preserve">Validación</x:t>
        </x:is>
      </x:c>
      <x:c r="D20" s="36" t="inlineStr">
        <x:is>
          <x:t xml:space="preserve">Rechazar fechas inválidas</x:t>
        </x:is>
      </x:c>
      <x:c r="E20" s="36" t="inlineStr">
        <x:is>
          <x:t xml:space="preserve">Crear un remate con el resto de datos completos.</x:t>
        </x:is>
      </x:c>
      <x:c r="F20" s="36" t="inlineStr">
        <x:is>
          <x:t xml:space="preserve">Probar: Cualquier cosa; 31/02/2026 17:00; 20/06/2026 25:00.</x:t>
        </x:is>
      </x:c>
      <x:c r="G20" s="36" t="inlineStr">
        <x:is>
          <x:t xml:space="preserve">1. Probar cada valor.
2. Presionar Publicar remate.</x:t>
        </x:is>
      </x:c>
      <x:c r="H20" s="36" t="inlineStr">
        <x:is>
          <x:t xml:space="preserve">No publica y solicita una fecha válida con formato dd/mm/yyyy HH:mm.</x:t>
        </x:is>
      </x:c>
      <x:c r="I20" s="36" t="inlineStr">
        <x:is>
          <x:t xml:space="preserve">Eventos publicados con fechas arbitrarias o inexistentes.</x:t>
        </x:is>
      </x:c>
      <x:c r="J20" s="36" t="str">
        <x:v>Aprobado</x:v>
      </x:c>
      <x:c r="K20" s="36" t="str">
        <x:v>Los tres valores inválidos fueron rechazados con el mensaje de formato dd/mm/yyyy HH:mm.</x:v>
      </x:c>
      <x:c r="L20" s="36" t="str">
        <x:v>Valores probados: texto libre, 31/02/2026 17:00 y 20/06/2026 25:00.</x:v>
      </x:c>
      <x:c r="M20" s="39" t="n">
        <x:v>46265.5</x:v>
      </x:c>
      <x:c r="N20" s="38" t="str">
        <x:v>Codex</x:v>
      </x:c>
    </x:row>
    <x:row r="21" ht="41.400001525878906" customHeight="1">
      <x:c r="A21" s="33" t="inlineStr">
        <x:is>
          <x:t xml:space="preserve">REM-020</x:t>
        </x:is>
      </x:c>
      <x:c r="B21" s="34" t="inlineStr">
        <x:is>
          <x:t xml:space="preserve">Alta</x:t>
        </x:is>
      </x:c>
      <x:c r="C21" s="35" t="inlineStr">
        <x:is>
          <x:t xml:space="preserve">Positivo</x:t>
        </x:is>
      </x:c>
      <x:c r="D21" s="36" t="inlineStr">
        <x:is>
          <x:t xml:space="preserve">Publicar con fecha a confirmar</x:t>
        </x:is>
      </x:c>
      <x:c r="E21" s="36" t="inlineStr">
        <x:is>
          <x:t xml:space="preserve">Crear un remate con los demás obligatorios completos.</x:t>
        </x:is>
      </x:c>
      <x:c r="F21" s="36" t="inlineStr">
        <x:is>
          <x:t xml:space="preserve">Marcar Fecha a confirmar y dejar fecha vacía.</x:t>
        </x:is>
      </x:c>
      <x:c r="G21" s="36" t="inlineStr">
        <x:is>
          <x:t xml:space="preserve">1. Marcar la opción.
2. Publicar.
3. Revisar home y detalle.</x:t>
        </x:is>
      </x:c>
      <x:c r="H21" s="36" t="inlineStr">
        <x:is>
          <x:t xml:space="preserve">Publica y muestra Fecha a confirmar en lugar de una fecha inventada.</x:t>
        </x:is>
      </x:c>
      <x:c r="I21" s="36" t="inlineStr">
        <x:is>
          <x:t xml:space="preserve">Bloqueo de eventos cuya fecha aún no está definida.</x:t>
        </x:is>
      </x:c>
      <x:c r="J21" s="36" t="str">
        <x:v>Aprobado</x:v>
      </x:c>
      <x:c r="K21" s="36" t="str">
        <x:v>Se publicó con Fecha a confirmar y ese texto apareció en el listado y el detalle.</x:v>
      </x:c>
      <x:c r="L21" s="36" t="str"/>
      <x:c r="M21" s="39" t="n">
        <x:v>46265.5</x:v>
      </x:c>
      <x:c r="N21" s="38" t="str">
        <x:v>Codex</x:v>
      </x:c>
    </x:row>
    <x:row r="22" ht="41.400001525878906" customHeight="1">
      <x:c r="A22" s="33" t="inlineStr">
        <x:is>
          <x:t xml:space="preserve">REM-021</x:t>
        </x:is>
      </x:c>
      <x:c r="B22" s="34" t="inlineStr">
        <x:is>
          <x:t xml:space="preserve">Alta</x:t>
        </x:is>
      </x:c>
      <x:c r="C22" s="35" t="inlineStr">
        <x:is>
          <x:t xml:space="preserve">Derivación</x:t>
        </x:is>
      </x:c>
      <x:c r="D22" s="36" t="inlineStr">
        <x:is>
          <x:t xml:space="preserve">Generar slug único desde el título</x:t>
        </x:is>
      </x:c>
      <x:c r="E22" s="36" t="inlineStr">
        <x:is>
          <x:t xml:space="preserve">Debe existir un remate titulado Remate especial.</x:t>
        </x:is>
      </x:c>
      <x:c r="F22" s="36" t="inlineStr">
        <x:is>
          <x:t xml:space="preserve">Crear otro remate con el mismo título.</x:t>
        </x:is>
      </x:c>
      <x:c r="G22" s="36" t="inlineStr">
        <x:is>
          <x:t xml:space="preserve">1. Escribir el título duplicado.
2. Revisar el slug.
3. Guardar y abrir ambos detalles.</x:t>
        </x:is>
      </x:c>
      <x:c r="H22" s="36" t="inlineStr">
        <x:is>
          <x:t xml:space="preserve">El slug no es editable y el segundo termina en -2 o en el siguiente índice disponible.</x:t>
        </x:is>
      </x:c>
      <x:c r="I22" s="36" t="inlineStr">
        <x:is>
          <x:t xml:space="preserve">Rutas duplicadas o detalle equivocado.</x:t>
        </x:is>
      </x:c>
      <x:c r="J22" s="36" t="str">
        <x:v>Aprobado</x:v>
      </x:c>
      <x:c r="K22" s="36" t="str">
        <x:v>El segundo título igual recibió un slug terminado en -2 y ambos remates pudieron publicarse.</x:v>
      </x:c>
      <x:c r="L22" s="36" t="str"/>
      <x:c r="M22" s="39" t="n">
        <x:v>46265.5</x:v>
      </x:c>
      <x:c r="N22" s="38" t="str">
        <x:v>Codex</x:v>
      </x:c>
    </x:row>
    <x:row r="23" ht="96" customHeight="1">
      <x:c r="A23" s="33" t="inlineStr">
        <x:is>
          <x:t xml:space="preserve">REM-022</x:t>
        </x:is>
      </x:c>
      <x:c r="B23" s="34" t="inlineStr">
        <x:is>
          <x:t xml:space="preserve">Alta</x:t>
        </x:is>
      </x:c>
      <x:c r="C23" s="35" t="inlineStr">
        <x:is>
          <x:t xml:space="preserve">Estado</x:t>
        </x:is>
      </x:c>
      <x:c r="D23" s="36" t="inlineStr">
        <x:is>
          <x:t xml:space="preserve">Ocultar un remate publicado</x:t>
        </x:is>
      </x:c>
      <x:c r="E23" s="36" t="inlineStr">
        <x:is>
          <x:t xml:space="preserve">Tener un remate Publicado visible y guardar su URL.</x:t>
        </x:is>
      </x:c>
      <x:c r="F23" s="36" t="inlineStr">
        <x:is>
          <x:t xml:space="preserve">Usar el botón Ocultar.</x:t>
        </x:is>
      </x:c>
      <x:c r="G23" s="36" t="inlineStr">
        <x:is>
          <x:t xml:space="preserve">1. Presionar Ocultar.
2. Revisar el estado en el panel.
3. Recargar la home.
4. Abrir la URL guardada.</x:t>
        </x:is>
      </x:c>
      <x:c r="H23" s="36" t="inlineStr">
        <x:is>
          <x:t xml:space="preserve">Queda Oculto, conserva el slug, desaparece de la web pública y su URL no muestra el detalle.</x:t>
        </x:is>
      </x:c>
      <x:c r="I23" s="36" t="inlineStr">
        <x:is>
          <x:t xml:space="preserve">Contenido retirado que sigue siendo accesible.</x:t>
        </x:is>
      </x:c>
      <x:c r="J23" s="36" t="str">
        <x:v>Aprobado</x:v>
      </x:c>
      <x:c r="K23" s="36" t="str">
        <x:v>Quedó Oculto, conservó el slug, desapareció de la home y su URL dejó de mostrar el detalle.</x:v>
      </x:c>
      <x:c r="L23" s="36" t="str"/>
      <x:c r="M23" s="39" t="n">
        <x:v>46265.5</x:v>
      </x:c>
      <x:c r="N23" s="38" t="str">
        <x:v>Codex</x:v>
      </x:c>
    </x:row>
    <x:row r="24" ht="96" customHeight="1">
      <x:c r="A24" s="33" t="inlineStr">
        <x:is>
          <x:t xml:space="preserve">REM-023</x:t>
        </x:is>
      </x:c>
      <x:c r="B24" s="34" t="inlineStr">
        <x:is>
          <x:t xml:space="preserve">Alta</x:t>
        </x:is>
      </x:c>
      <x:c r="C24" s="35" t="inlineStr">
        <x:is>
          <x:t xml:space="preserve">Estado</x:t>
        </x:is>
      </x:c>
      <x:c r="D24" s="36" t="inlineStr">
        <x:is>
          <x:t xml:space="preserve">Volver a publicar un remate oculto</x:t>
        </x:is>
      </x:c>
      <x:c r="E24" s="36" t="inlineStr">
        <x:is>
          <x:t xml:space="preserve">Tener un remate Oculto y conocer su slug anterior.</x:t>
        </x:is>
      </x:c>
      <x:c r="F24" s="36" t="inlineStr">
        <x:is>
          <x:t xml:space="preserve">Usar el botón Publicar nuevamente.</x:t>
        </x:is>
      </x:c>
      <x:c r="G24" s="36" t="inlineStr">
        <x:is>
          <x:t xml:space="preserve">1. Publicar nuevamente.
2. Revisar el panel.
3. Abrir la home y el detalle.</x:t>
        </x:is>
      </x:c>
      <x:c r="H24" s="36" t="inlineStr">
        <x:is>
          <x:t xml:space="preserve">Vuelve a Publicado, reaparece en la web y mantiene exactamente el slug anterior.</x:t>
        </x:is>
      </x:c>
      <x:c r="I24" s="36" t="inlineStr">
        <x:is>
          <x:t xml:space="preserve">Cambio innecesario de URL al restaurar contenido.</x:t>
        </x:is>
      </x:c>
      <x:c r="J24" s="36" t="str">
        <x:v>Aprobado</x:v>
      </x:c>
      <x:c r="K24" s="36" t="str">
        <x:v>Volvió a Publicado, reapareció en la home y el detalle, manteniendo el mismo slug.</x:v>
      </x:c>
      <x:c r="L24" s="36" t="str"/>
      <x:c r="M24" s="39" t="n">
        <x:v>46265.5</x:v>
      </x:c>
      <x:c r="N24" s="38" t="str">
        <x:v>Codex</x:v>
      </x:c>
    </x:row>
    <x:row r="25" ht="96" customHeight="1">
      <x:c r="A25" s="33" t="inlineStr">
        <x:is>
          <x:t xml:space="preserve">REM-024</x:t>
        </x:is>
      </x:c>
      <x:c r="B25" s="34" t="inlineStr">
        <x:is>
          <x:t xml:space="preserve">Alta</x:t>
        </x:is>
      </x:c>
      <x:c r="C25" s="35" t="inlineStr">
        <x:is>
          <x:t xml:space="preserve">Confirmación</x:t>
        </x:is>
      </x:c>
      <x:c r="D25" s="36" t="inlineStr">
        <x:is>
          <x:t xml:space="preserve">Rechazar finalización o cancelación</x:t>
        </x:is>
      </x:c>
      <x:c r="E25" s="36" t="inlineStr">
        <x:is>
          <x:t xml:space="preserve">Tener dos remates Publicados u Ocultos que puedan conservarse.</x:t>
        </x:is>
      </x:c>
      <x:c r="F25" s="36" t="inlineStr">
        <x:is>
          <x:t xml:space="preserve">Rechazar una vez Finalizar y una vez Cancelar.</x:t>
        </x:is>
      </x:c>
      <x:c r="G25" s="36" t="inlineStr">
        <x:is>
          <x:t xml:space="preserve">1. Presionar Finalizar y rechazar.
2. Verificar el estado.
3. Presionar Cancelar en el otro remate y rechazar.
4. Recargar.</x:t>
        </x:is>
      </x:c>
      <x:c r="H25" s="36" t="inlineStr">
        <x:is>
          <x:t xml:space="preserve">Ningún remate cambia de estado ni desaparece por rechazar la confirmación.</x:t>
        </x:is>
      </x:c>
      <x:c r="I25" s="36" t="inlineStr">
        <x:is>
          <x:t xml:space="preserve">Cambio terminal accidental.</x:t>
        </x:is>
      </x:c>
      <x:c r="J25" s="36" t="str">
        <x:v>Aprobado</x:v>
      </x:c>
      <x:c r="K25" s="36" t="str">
        <x:v>Al rechazar Finalizar y Cancelar, ambos remates conservaron el estado Publicado.</x:v>
      </x:c>
      <x:c r="L25" s="36" t="str"/>
      <x:c r="M25" s="39" t="n">
        <x:v>46265.5</x:v>
      </x:c>
      <x:c r="N25" s="38" t="str">
        <x:v>Codex</x:v>
      </x:c>
    </x:row>
    <x:row r="26" ht="96" customHeight="1">
      <x:c r="A26" s="33" t="inlineStr">
        <x:is>
          <x:t xml:space="preserve">REM-025</x:t>
        </x:is>
      </x:c>
      <x:c r="B26" s="34" t="inlineStr">
        <x:is>
          <x:t xml:space="preserve">Alta</x:t>
        </x:is>
      </x:c>
      <x:c r="C26" s="35" t="inlineStr">
        <x:is>
          <x:t xml:space="preserve">Estado</x:t>
        </x:is>
      </x:c>
      <x:c r="D26" s="36" t="inlineStr">
        <x:is>
          <x:t xml:space="preserve">Cancelar un remate con confirmación</x:t>
        </x:is>
      </x:c>
      <x:c r="E26" s="36" t="inlineStr">
        <x:is>
          <x:t xml:space="preserve">Tener un remate Publicado visible en la web.</x:t>
        </x:is>
      </x:c>
      <x:c r="F26" s="36" t="inlineStr">
        <x:is>
          <x:t xml:space="preserve">Usar Cancelar y aceptar la confirmación.</x:t>
        </x:is>
      </x:c>
      <x:c r="G26" s="36" t="inlineStr">
        <x:is>
          <x:t xml:space="preserve">1. Presionar Cancelar.
2. Leer y aceptar la confirmación.
3. Recargar home.
4. Abrir su URL.</x:t>
        </x:is>
      </x:c>
      <x:c r="H26" s="36" t="inlineStr">
        <x:is>
          <x:t xml:space="preserve">Queda Cancelado, desaparece de la web y su detalle deja de ser accesible.</x:t>
        </x:is>
      </x:c>
      <x:c r="I26" s="36" t="inlineStr">
        <x:is>
          <x:t xml:space="preserve">Evento cancelado que continúa promocionándose.</x:t>
        </x:is>
      </x:c>
      <x:c r="J26" s="36" t="str">
        <x:v>Aprobado</x:v>
      </x:c>
      <x:c r="K26" s="36" t="str">
        <x:v>Al confirmar, quedó Cancelado, desapareció de la home y su URL dejó de mostrar el detalle.</x:v>
      </x:c>
      <x:c r="L26" s="36" t="str"/>
      <x:c r="M26" s="39" t="n">
        <x:v>46265.5</x:v>
      </x:c>
      <x:c r="N26" s="38" t="str">
        <x:v>Codex</x:v>
      </x:c>
    </x:row>
    <x:row r="27" ht="96" customHeight="1">
      <x:c r="A27" s="33" t="inlineStr">
        <x:is>
          <x:t xml:space="preserve">REM-026</x:t>
        </x:is>
      </x:c>
      <x:c r="B27" s="34" t="inlineStr">
        <x:is>
          <x:t xml:space="preserve">Alta</x:t>
        </x:is>
      </x:c>
      <x:c r="C27" s="35" t="inlineStr">
        <x:is>
          <x:t xml:space="preserve">Estado</x:t>
        </x:is>
      </x:c>
      <x:c r="D27" s="36" t="inlineStr">
        <x:is>
          <x:t xml:space="preserve">Impedir reactivar estados terminales</x:t>
        </x:is>
      </x:c>
      <x:c r="E27" s="36" t="inlineStr">
        <x:is>
          <x:t xml:space="preserve">Tener un remate Finalizado y otro Cancelado.</x:t>
        </x:is>
      </x:c>
      <x:c r="F27" s="36" t="inlineStr">
        <x:is>
          <x:t xml:space="preserve">Revisar acciones disponibles para ambos.</x:t>
        </x:is>
      </x:c>
      <x:c r="G27" s="36" t="inlineStr">
        <x:is>
          <x:t xml:space="preserve">1. Abrir el listado.
2. Revisar acciones de ambos remates.
3. Intentar editarlos o publicarlos si aparece algún control.</x:t>
        </x:is>
      </x:c>
      <x:c r="H27" s="36" t="inlineStr">
        <x:is>
          <x:t xml:space="preserve">No ofrece acciones para volver a Borrador, En revisión, Publicado u Oculto.</x:t>
        </x:is>
      </x:c>
      <x:c r="I27" s="36" t="inlineStr">
        <x:is>
          <x:t xml:space="preserve">Reactivación de eventos terminales.</x:t>
        </x:is>
      </x:c>
      <x:c r="J27" s="36" t="str">
        <x:v>Aprobado</x:v>
      </x:c>
      <x:c r="K27" s="36" t="str">
        <x:v>Finalizado y Cancelado solo ofrecieron Editar y Eliminar; el editor no mostró acciones para reactivarlos.</x:v>
      </x:c>
      <x:c r="L27" s="36" t="str"/>
      <x:c r="M27" s="39" t="n">
        <x:v>46265.5</x:v>
      </x:c>
      <x:c r="N27" s="38" t="str">
        <x:v>Codex</x:v>
      </x:c>
    </x:row>
    <x:row r="28" ht="96" customHeight="1">
      <x:c r="A28" s="33" t="inlineStr">
        <x:is>
          <x:t xml:space="preserve">REM-027</x:t>
        </x:is>
      </x:c>
      <x:c r="B28" s="34" t="inlineStr">
        <x:is>
          <x:t xml:space="preserve">Alta</x:t>
        </x:is>
      </x:c>
      <x:c r="C28" s="35" t="inlineStr">
        <x:is>
          <x:t xml:space="preserve">Slug</x:t>
        </x:is>
      </x:c>
      <x:c r="D28" s="36" t="inlineStr">
        <x:is>
          <x:t xml:space="preserve">Actualizar slug antes de publicar</x:t>
        </x:is>
      </x:c>
      <x:c r="E28" s="36" t="inlineStr">
        <x:is>
          <x:t xml:space="preserve">Crear un remate en Borrador y luego enviarlo a En revisión.</x:t>
        </x:is>
      </x:c>
      <x:c r="F28" s="36" t="inlineStr">
        <x:is>
          <x:t xml:space="preserve">Título inicial: Remate rural de agosto.
Título nuevo: Remate rural de setiembre.</x:t>
        </x:is>
      </x:c>
      <x:c r="G28" s="36" t="inlineStr">
        <x:is>
          <x:t xml:space="preserve">1. Escribir el título inicial.
2. Guardar Borrador.
3. Cambiar el título.
4. Enviar a revisión y observar el slug.</x:t>
        </x:is>
      </x:c>
      <x:c r="H28" s="36" t="inlineStr">
        <x:is>
          <x:t xml:space="preserve">El slug acompaña el título tanto en Borrador como en En revisión.</x:t>
        </x:is>
      </x:c>
      <x:c r="I28" s="36" t="inlineStr">
        <x:is>
          <x:t xml:space="preserve">URL preliminar desincronizada con el título.</x:t>
        </x:is>
      </x:c>
      <x:c r="J28" s="36" t="str">
        <x:v>Aprobado</x:v>
      </x:c>
      <x:c r="K28" s="36" t="str">
        <x:v>El slug acompañó el cambio de título en Borrador y En revisión.</x:v>
      </x:c>
      <x:c r="L28" s="36" t="str"/>
      <x:c r="M28" s="39" t="n">
        <x:v>46265.5</x:v>
      </x:c>
      <x:c r="N28" s="38" t="str">
        <x:v>Codex</x:v>
      </x:c>
    </x:row>
    <x:row r="29" ht="96" customHeight="1">
      <x:c r="A29" s="33" t="inlineStr">
        <x:is>
          <x:t xml:space="preserve">REM-028</x:t>
        </x:is>
      </x:c>
      <x:c r="B29" s="34" t="inlineStr">
        <x:is>
          <x:t xml:space="preserve">Alta</x:t>
        </x:is>
      </x:c>
      <x:c r="C29" s="35" t="inlineStr">
        <x:is>
          <x:t xml:space="preserve">Slug</x:t>
        </x:is>
      </x:c>
      <x:c r="D29" s="36" t="inlineStr">
        <x:is>
          <x:t xml:space="preserve">Mantener slug fijo después de publicar</x:t>
        </x:is>
      </x:c>
      <x:c r="E29" s="36" t="inlineStr">
        <x:is>
          <x:t xml:space="preserve">Tener un remate Publicado y guardar su slug.</x:t>
        </x:is>
      </x:c>
      <x:c r="F29" s="36" t="inlineStr">
        <x:is>
          <x:t xml:space="preserve">Cambiar el título; luego ocultar y volver a publicar.</x:t>
        </x:is>
      </x:c>
      <x:c r="G29" s="36" t="inlineStr">
        <x:is>
          <x:t xml:space="preserve">1. Editar el título y guardar.
2. Comparar el slug.
3. Ocultar.
4. Volver a publicar y comparar otra vez.</x:t>
        </x:is>
      </x:c>
      <x:c r="H29" s="36" t="inlineStr">
        <x:is>
          <x:t xml:space="preserve">El título cambia, pero el slug permanece fijo durante edición, ocultamiento y republicación.</x:t>
        </x:is>
      </x:c>
      <x:c r="I29" s="36" t="inlineStr">
        <x:is>
          <x:t xml:space="preserve">Enlaces públicos rotos después de editar.</x:t>
        </x:is>
      </x:c>
      <x:c r="J29" s="36" t="str">
        <x:v>Aprobado</x:v>
      </x:c>
      <x:c r="K29" s="36" t="str">
        <x:v>El slug permaneció idéntico al editar el título, ocultar y volver a publicar.</x:v>
      </x:c>
      <x:c r="L29" s="36" t="str"/>
      <x:c r="M29" s="39" t="n">
        <x:v>46265.5</x:v>
      </x:c>
      <x:c r="N29" s="38" t="str">
        <x:v>Codex</x:v>
      </x:c>
    </x:row>
    <x:row r="30" ht="96" customHeight="1">
      <x:c r="A30" s="33" t="inlineStr">
        <x:is>
          <x:t xml:space="preserve">REM-029</x:t>
        </x:is>
      </x:c>
      <x:c r="B30" s="34" t="inlineStr">
        <x:is>
          <x:t xml:space="preserve">Alta</x:t>
        </x:is>
      </x:c>
      <x:c r="C30" s="35" t="inlineStr">
        <x:is>
          <x:t xml:space="preserve">Concurrencia</x:t>
        </x:is>
      </x:c>
      <x:c r="D30" s="36" t="inlineStr">
        <x:is>
          <x:t xml:space="preserve">Detectar una edición basada en versión anterior</x:t>
        </x:is>
      </x:c>
      <x:c r="E30" s="36" t="inlineStr">
        <x:is>
          <x:t xml:space="preserve">Abrir el mismo remate para editar en dos pestañas antes de guardar.</x:t>
        </x:is>
      </x:c>
      <x:c r="F30" s="36" t="inlineStr">
        <x:is>
          <x:t xml:space="preserve">Pestaña A: cambiar lugar.
Pestaña B: cambiar descripción.</x:t>
        </x:is>
      </x:c>
      <x:c r="G30" s="36" t="inlineStr">
        <x:is>
          <x:t xml:space="preserve">1. Guardar en A.
2. Sin recargar B, intentar guardar allí.
3. Volver al listado y revisar datos.</x:t>
        </x:is>
      </x:c>
      <x:c r="H30" s="36" t="inlineStr">
        <x:is>
          <x:t xml:space="preserve">La segunda edición muestra conflicto, no sobrescribe la primera y conserva en pantalla sus cambios para revisarlos.</x:t>
        </x:is>
      </x:c>
      <x:c r="I30" s="36" t="inlineStr">
        <x:is>
          <x:t xml:space="preserve">Pérdida silenciosa por sobrescritura concurrente.</x:t>
        </x:is>
      </x:c>
      <x:c r="J30" s="36" t="str">
        <x:v>Falló</x:v>
      </x:c>
      <x:c r="K30" s="36" t="str">
        <x:v>La segunda pestaña guardó sin mostrar conflicto y sobrescribió el cambio de lugar de la primera.</x:v>
      </x:c>
      <x:c r="L30" s="36" t="str">
        <x:v>Después de recargar quedó la descripción de la pestaña B y se perdió el lugar guardado desde A.</x:v>
      </x:c>
      <x:c r="M30" s="39" t="n">
        <x:v>46265.5</x:v>
      </x:c>
      <x:c r="N30" s="38" t="str">
        <x:v>Codex</x:v>
      </x:c>
    </x:row>
    <x:row r="31" ht="96" customHeight="1">
      <x:c r="A31" s="33" t="inlineStr">
        <x:is>
          <x:t xml:space="preserve">REM-030</x:t>
        </x:is>
      </x:c>
      <x:c r="B31" s="34" t="inlineStr">
        <x:is>
          <x:t xml:space="preserve">Alta</x:t>
        </x:is>
      </x:c>
      <x:c r="C31" s="35" t="inlineStr">
        <x:is>
          <x:t xml:space="preserve">Concurrencia</x:t>
        </x:is>
      </x:c>
      <x:c r="D31" s="36" t="inlineStr">
        <x:is>
          <x:t xml:space="preserve">Detectar un cambio de estado con versión anterior</x:t>
        </x:is>
      </x:c>
      <x:c r="E31" s="36" t="inlineStr">
        <x:is>
          <x:t xml:space="preserve">Abrir el listado en dos pestañas mostrando el mismo remate Publicado.</x:t>
        </x:is>
      </x:c>
      <x:c r="F31" s="36" t="inlineStr">
        <x:is>
          <x:t xml:space="preserve">Pestaña A: editar y guardar.
Pestaña B: intentar Ocultar.</x:t>
        </x:is>
      </x:c>
      <x:c r="G31" s="36" t="inlineStr">
        <x:is>
          <x:t xml:space="preserve">1. Guardar el cambio en A.
2. Sin recargar B, presionar Ocultar.
3. Revisar el aviso y el estado final.</x:t>
        </x:is>
      </x:c>
      <x:c r="H31" s="36" t="inlineStr">
        <x:is>
          <x:t xml:space="preserve">Rechaza la acción basada en la versión anterior, actualiza el listado y no pierde el cambio de A.</x:t>
        </x:is>
      </x:c>
      <x:c r="I31" s="36" t="inlineStr">
        <x:is>
          <x:t xml:space="preserve">Transición aplicada sobre datos desactualizados.</x:t>
        </x:is>
      </x:c>
      <x:c r="J31" s="36" t="str">
        <x:v>Falló</x:v>
      </x:c>
      <x:c r="K31" s="36" t="str">
        <x:v>La pestaña desactualizada ocultó el remate sin aviso y perdió el cambio guardado desde la otra pestaña.</x:v>
      </x:c>
      <x:c r="L31" s="36" t="str">
        <x:v>No se mostró conflicto de versión; el estado final fue Oculto.</x:v>
      </x:c>
      <x:c r="M31" s="39" t="n">
        <x:v>46265.5</x:v>
      </x:c>
      <x:c r="N31" s="38" t="str">
        <x:v>Codex</x:v>
      </x:c>
    </x:row>
    <x:row r="32" ht="96" customHeight="1">
      <x:c r="A32" s="33" t="inlineStr">
        <x:is>
          <x:t xml:space="preserve">REM-031</x:t>
        </x:is>
      </x:c>
      <x:c r="B32" s="34" t="inlineStr">
        <x:is>
          <x:t xml:space="preserve">Alta</x:t>
        </x:is>
      </x:c>
      <x:c r="C32" s="35" t="inlineStr">
        <x:is>
          <x:t xml:space="preserve">Fecha</x:t>
        </x:is>
      </x:c>
      <x:c r="D32" s="36" t="inlineStr">
        <x:is>
          <x:t xml:space="preserve">Conservar hora de Montevideo al guardar y recargar</x:t>
        </x:is>
      </x:c>
      <x:c r="E32" s="36" t="inlineStr">
        <x:is>
          <x:t xml:space="preserve">Crear o editar un remate desde un equipo con la zona horaria habitual de Uruguay.</x:t>
        </x:is>
      </x:c>
      <x:c r="F32" s="36" t="inlineStr">
        <x:is>
          <x:t xml:space="preserve">Fecha y hora: 30/08/2026 14:30.</x:t>
        </x:is>
      </x:c>
      <x:c r="G32" s="36" t="inlineStr">
        <x:is>
          <x:t xml:space="preserve">1. Ingresar la fecha.
2. Guardar.
3. Recargar el navegador.
4. Abrir nuevamente y revisar panel, tarjeta y detalle.</x:t>
        </x:is>
      </x:c>
      <x:c r="H32" s="36" t="inlineStr">
        <x:is>
          <x:t xml:space="preserve">Se sigue mostrando 30/08/2026 14:30, sin corrimiento de día ni de hora.</x:t>
        </x:is>
      </x:c>
      <x:c r="I32" s="36" t="inlineStr">
        <x:is>
          <x:t xml:space="preserve">Conversión ISO o zona horaria incorrecta.</x:t>
        </x:is>
      </x:c>
      <x:c r="J32" s="36" t="str">
        <x:v>Aprobado</x:v>
      </x:c>
      <x:c r="K32" s="36" t="str">
        <x:v>Después de guardar y recargar se mantuvo 30/08/2026 14:30 en editor, listado y detalle.</x:v>
      </x:c>
      <x:c r="L32" s="36" t="str"/>
      <x:c r="M32" s="39" t="n">
        <x:v>46265.5</x:v>
      </x:c>
      <x:c r="N32" s="38" t="str">
        <x:v>Codex</x:v>
      </x:c>
    </x:row>
  </x:sheetData>
  <x:conditionalFormatting sqref="J2:J3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32"/>
  </x:dataValidations>
  <x:pageMargins left="0.7" right="0.7" top="0.75" bottom="0.75" header="0.3" footer="0.3"/>
  <x:tableParts count="1">
    <x:tablePart xmlns:r="http://schemas.openxmlformats.org/officeDocument/2006/relationships" r:id="Rf1994a1aabcc4b0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CAT-006</x:t>
        </x:is>
      </x:c>
      <x:c r="B2" s="10" t="inlineStr">
        <x:is>
          <x:t xml:space="preserve">Media</x:t>
        </x:is>
      </x:c>
      <x:c r="C2" s="36" t="inlineStr">
        <x:is>
          <x:t xml:space="preserve">Lotes</x:t>
        </x:is>
      </x:c>
      <x:c r="D2" s="36" t="inlineStr">
        <x:is>
          <x:t xml:space="preserve">Publicar sin lotes destacados</x:t>
        </x:is>
      </x:c>
      <x:c r="E2" s="36" t="inlineStr">
        <x:is>
          <x:t xml:space="preserve">Crear un remate completo.</x:t>
        </x:is>
      </x:c>
      <x:c r="F2" s="36" t="inlineStr">
        <x:is>
          <x:t xml:space="preserve">Lotes destacados: ninguno.</x:t>
        </x:is>
      </x:c>
      <x:c r="G2" s="36" t="inlineStr">
        <x:is>
          <x:t xml:space="preserve">1. Publicar.
2. Abrir detalle.</x:t>
        </x:is>
      </x:c>
      <x:c r="H2" s="36" t="inlineStr">
        <x:is>
          <x:t xml:space="preserve">El detalle funciona y la sección no muestra tarjetas ni controles vacíos.</x:t>
        </x:is>
      </x:c>
      <x:c r="I2" s="36" t="inlineStr">
        <x:is>
          <x:t xml:space="preserve">Sección rota cuando el array está vacío.</x:t>
        </x:is>
      </x:c>
      <x:c r="J2" s="36" t="str">
        <x:v>Aprobado</x:v>
      </x:c>
      <x:c r="K2" s="36" t="str">
        <x:v>Coincide con el resultado esperado.</x:v>
      </x:c>
      <x:c r="L2" s="36" t="str">
        <x:v>Remate publicado sin lotes; el detalle no mostró una sección ni controles vacíos.</x:v>
      </x:c>
      <x:c r="M2" s="37" t="str">
        <x:v>01/09/2026</x:v>
      </x:c>
      <x:c r="N2" s="38" t="str">
        <x:v>Codex</x:v>
      </x:c>
    </x:row>
    <x:row r="3" ht="96" customHeight="1">
      <x:c r="A3" s="12" t="inlineStr">
        <x:is>
          <x:t xml:space="preserve">CAT-007</x:t>
        </x:is>
      </x:c>
      <x:c r="B3" s="10" t="inlineStr">
        <x:is>
          <x:t xml:space="preserve">Media</x:t>
        </x:is>
      </x:c>
      <x:c r="C3" s="36" t="inlineStr">
        <x:is>
          <x:t xml:space="preserve">Lotes</x:t>
        </x:is>
      </x:c>
      <x:c r="D3" s="36" t="inlineStr">
        <x:is>
          <x:t xml:space="preserve">Agregar un lote destacado</x:t>
        </x:is>
      </x:c>
      <x:c r="E3" s="36" t="inlineStr">
        <x:is>
          <x:t xml:space="preserve">Editar un remate.</x:t>
        </x:is>
      </x:c>
      <x:c r="F3" s="36" t="inlineStr">
        <x:is>
          <x:t xml:space="preserve">Archivo JPG/PNG/WebP menor a 700 KB.
Nombre: Aparador antiguo de roble.</x:t>
        </x:is>
      </x:c>
      <x:c r="G3" s="36" t="inlineStr">
        <x:is>
          <x:t xml:space="preserve">1. Agregar el lote destacado.
2. Cargar la foto y asignarle el nombre.
3. Publicar y abrir el detalle.</x:t>
        </x:is>
      </x:c>
      <x:c r="H3" s="36" t="inlineStr">
        <x:is>
          <x:t xml:space="preserve">Se muestra una tarjeta con la foto y el nombre indicado.</x:t>
        </x:is>
      </x:c>
      <x:c r="I3" s="36" t="inlineStr">
        <x:is>
          <x:t xml:space="preserve">Lote no persistido.</x:t>
        </x:is>
      </x:c>
      <x:c r="J3" s="36" t="str">
        <x:v>Aprobado</x:v>
      </x:c>
      <x:c r="K3" s="36" t="str">
        <x:v>Coincide con el resultado esperado.</x:v>
      </x:c>
      <x:c r="L3" s="36" t="str">
        <x:v>Se cargaron seis PNG válidos y cada tarjeta mostró su nombre en el detalle público.</x:v>
      </x:c>
      <x:c r="M3" s="37" t="str">
        <x:v>01/09/2026</x:v>
      </x:c>
      <x:c r="N3" s="38" t="str">
        <x:v>Codex</x:v>
      </x:c>
    </x:row>
    <x:row r="4" ht="96" customHeight="1">
      <x:c r="A4" s="12" t="inlineStr">
        <x:is>
          <x:t xml:space="preserve">CAT-008</x:t>
        </x:is>
      </x:c>
      <x:c r="B4" s="10" t="inlineStr">
        <x:is>
          <x:t xml:space="preserve">Alta</x:t>
        </x:is>
      </x:c>
      <x:c r="C4" s="36" t="inlineStr">
        <x:is>
          <x:t xml:space="preserve">Carrusel</x:t>
        </x:is>
      </x:c>
      <x:c r="D4" s="36" t="inlineStr">
        <x:is>
          <x:t xml:space="preserve">Carrusel con más de tres lotes</x:t>
        </x:is>
      </x:c>
      <x:c r="E4" s="36" t="inlineStr">
        <x:is>
          <x:t xml:space="preserve">Usar el Caso extremo de la hoja Datos de prueba.</x:t>
        </x:is>
      </x:c>
      <x:c r="F4" s="36" t="inlineStr">
        <x:is>
          <x:t xml:space="preserve">Cargar 6 lotes con nombres distintos.</x:t>
        </x:is>
      </x:c>
      <x:c r="G4" s="36" t="inlineStr">
        <x:is>
          <x:t xml:space="preserve">1. Abrir detalle en escritorio.
2. Avanzar 8 veces y retroceder 8 veces.</x:t>
        </x:is>
      </x:c>
      <x:c r="H4" s="36" t="inlineStr">
        <x:is>
          <x:t xml:space="preserve">Las imágenes recorren circularmente, sin saltos, capas duplicadas ni tarjetas que vuelvan a su lugar.</x:t>
        </x:is>
      </x:c>
      <x:c r="I4" s="36" t="inlineStr">
        <x:is>
          <x:t xml:space="preserve">Regresión conocida de animación y orden.</x:t>
        </x:is>
      </x:c>
      <x:c r="J4" s="36" t="str">
        <x:v>Aprobado</x:v>
      </x:c>
      <x:c r="K4" s="36" t="str">
        <x:v>Coincide con el resultado esperado.</x:v>
      </x:c>
      <x:c r="L4" s="36" t="str">
        <x:v>Con seis lotes, ocho avances y ocho retrocesos recorrieron el carrusel circularmente y volvieron al primer lote.</x:v>
      </x:c>
      <x:c r="M4" s="37" t="str">
        <x:v>01/09/2026</x:v>
      </x:c>
      <x:c r="N4" s="38" t="str">
        <x:v>Codex</x:v>
      </x:c>
    </x:row>
    <x:row r="5" ht="96" customHeight="1">
      <x:c r="A5" s="12" t="inlineStr">
        <x:is>
          <x:t xml:space="preserve">CAT-009</x:t>
        </x:is>
      </x:c>
      <x:c r="B5" s="10" t="inlineStr">
        <x:is>
          <x:t xml:space="preserve">Alta</x:t>
        </x:is>
      </x:c>
      <x:c r="C5" s="36" t="inlineStr">
        <x:is>
          <x:t xml:space="preserve">Carrusel</x:t>
        </x:is>
      </x:c>
      <x:c r="D5" s="36" t="inlineStr">
        <x:is>
          <x:t xml:space="preserve">Bloquear clics repetidos durante transición</x:t>
        </x:is>
      </x:c>
      <x:c r="E5" s="36" t="inlineStr">
        <x:is>
          <x:t xml:space="preserve">Detalle con 6 lotes.</x:t>
        </x:is>
      </x:c>
      <x:c r="F5" s="36" t="inlineStr">
        <x:is>
          <x:t xml:space="preserve">Hacer clic rápido 10 veces sobre la flecha derecha.</x:t>
        </x:is>
      </x:c>
      <x:c r="G5" s="36" t="inlineStr">
        <x:is>
          <x:t xml:space="preserve">1. Ejecutar los clics durante la animación.
2. Esperar que se estabilice.</x:t>
        </x:is>
      </x:c>
      <x:c r="H5" s="36" t="inlineStr">
        <x:is>
          <x:t xml:space="preserve">El carrusel queda en un estado válido, sin superposiciones ni controles bloqueados.</x:t>
        </x:is>
      </x:c>
      <x:c r="I5" s="36" t="inlineStr">
        <x:is>
          <x:t xml:space="preserve">Condición de carrera en animación.</x:t>
        </x:is>
      </x:c>
      <x:c r="J5" s="36" t="str">
        <x:v>Aprobado</x:v>
      </x:c>
      <x:c r="K5" s="36" t="str">
        <x:v>Coincide con el resultado esperado.</x:v>
      </x:c>
      <x:c r="L5" s="36" t="str">
        <x:v>Diez clics rápidos dejaron tres tarjetas válidas y el control habilitado luego de estabilizarse.</x:v>
      </x:c>
      <x:c r="M5" s="37" t="str">
        <x:v>01/09/2026</x:v>
      </x:c>
      <x:c r="N5" s="38" t="str">
        <x:v>Codex</x:v>
      </x:c>
    </x:row>
    <x:row r="6" ht="96" customHeight="1">
      <x:c r="A6" s="12"/>
      <x:c r="B6" s="10"/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37"/>
      <x:c r="N6" s="38"/>
    </x:row>
    <x:row r="7" ht="96" customHeight="1">
      <x:c r="A7" s="12" t="inlineStr">
        <x:is>
          <x:t xml:space="preserve">CAT-011</x:t>
        </x:is>
      </x:c>
      <x:c r="B7" s="10" t="inlineStr">
        <x:is>
          <x:t xml:space="preserve">Media</x:t>
        </x:is>
      </x:c>
      <x:c r="C7" s="36" t="inlineStr">
        <x:is>
          <x:t xml:space="preserve">Archivo</x:t>
        </x:is>
      </x:c>
      <x:c r="D7" s="36" t="inlineStr">
        <x:is>
          <x:t xml:space="preserve">Rechazar imagen demasiado grande</x:t>
        </x:is>
      </x:c>
      <x:c r="E7" s="36" t="inlineStr">
        <x:is>
          <x:t xml:space="preserve">Disponer de JPG/PNG/WebP mayor a 700 KB.</x:t>
        </x:is>
      </x:c>
      <x:c r="F7" s="36" t="inlineStr">
        <x:is>
          <x:t xml:space="preserve">Imagen de aproximadamente 1 MB.</x:t>
        </x:is>
      </x:c>
      <x:c r="G7" s="36" t="inlineStr">
        <x:is>
          <x:t xml:space="preserve">1. Cargarla en un lote.
2. Revisar el aviso.</x:t>
        </x:is>
      </x:c>
      <x:c r="H7" s="36" t="inlineStr">
        <x:is>
          <x:t xml:space="preserve">Informa que supera el máximo y no reemplaza la imagen guardada.</x:t>
        </x:is>
      </x:c>
      <x:c r="I7" s="36" t="inlineStr">
        <x:is>
          <x:t xml:space="preserve">Saturación de almacenamiento local.</x:t>
        </x:is>
      </x:c>
      <x:c r="J7" s="36" t="str">
        <x:v>Aprobado</x:v>
      </x:c>
      <x:c r="K7" s="36" t="str">
        <x:v>Coincide con el resultado esperado.</x:v>
      </x:c>
      <x:c r="L7" s="36" t="str">
        <x:v>El PNG de 700.001 bytes mostró el aviso de máximo excedido y no se agregó como lote.</x:v>
      </x:c>
      <x:c r="M7" s="37" t="str">
        <x:v>01/09/2026</x:v>
      </x:c>
      <x:c r="N7" s="38" t="str">
        <x:v>Codex</x:v>
      </x:c>
    </x:row>
    <x:row r="8" ht="96" customHeight="1">
      <x:c r="A8" s="13" t="inlineStr">
        <x:is>
          <x:t xml:space="preserve">CAT-012</x:t>
        </x:is>
      </x:c>
      <x:c r="B8" s="11" t="inlineStr">
        <x:is>
          <x:t xml:space="preserve">Alta</x:t>
        </x:is>
      </x:c>
      <x:c r="C8" s="7" t="inlineStr">
        <x:is>
          <x:t xml:space="preserve">Lightbox</x:t>
        </x:is>
      </x:c>
      <x:c r="D8" s="7" t="inlineStr">
        <x:is>
          <x:t xml:space="preserve">Abrir y cerrar imagen ampliada</x:t>
        </x:is>
      </x:c>
      <x:c r="E8" s="7" t="inlineStr">
        <x:is>
          <x:t xml:space="preserve">Detalle con al menos 3 lotes.</x:t>
        </x:is>
      </x:c>
      <x:c r="F8" s="7" t="inlineStr">
        <x:is>
          <x:t xml:space="preserve">Usar lote Mesa de comedor con seis sillas.</x:t>
        </x:is>
      </x:c>
      <x:c r="G8" s="7" t="inlineStr">
        <x:is>
          <x:t xml:space="preserve">1. Presionar imagen.
2. Navegar con flechas del lightbox.
3. Cerrar con X, Escape y clic fuera.</x:t>
        </x:is>
      </x:c>
      <x:c r="H8" s="7" t="inlineStr">
        <x:is>
          <x:t xml:space="preserve">La imagen se amplía; todas las formas de cierre funcionan y el scroll se restaura.</x:t>
        </x:is>
      </x:c>
      <x:c r="I8" s="7" t="inlineStr">
        <x:is>
          <x:t xml:space="preserve">Modal atrapado o navegación inaccesible.</x:t>
        </x:is>
      </x:c>
      <x:c r="J8" s="7" t="str">
        <x:v>Aprobado</x:v>
      </x:c>
      <x:c r="K8" s="7" t="str">
        <x:v>Coincide con el resultado esperado.</x:v>
      </x:c>
      <x:c r="L8" s="7" t="str">
        <x:v>El lightbox navegó entre lotes y cerró con X, Escape y clic fuera.</x:v>
      </x:c>
      <x:c r="M8" s="8" t="str">
        <x:v>01/09/2026</x:v>
      </x:c>
      <x:c r="N8" s="9" t="str">
        <x:v>Codex</x:v>
      </x:c>
    </x:row>
    <x:row r="9" ht="96" customHeight="1">
      <x:c r="A9" s="13" t="inlineStr">
        <x:is>
          <x:t xml:space="preserve">CAT-013</x:t>
        </x:is>
      </x:c>
      <x:c r="B9" s="11" t="inlineStr">
        <x:is>
          <x:t xml:space="preserve">Alta</x:t>
        </x:is>
      </x:c>
      <x:c r="C9" s="7" t="inlineStr">
        <x:is>
          <x:t xml:space="preserve">Archivos</x:t>
        </x:is>
      </x:c>
      <x:c r="D9" s="7" t="inlineStr">
        <x:is>
          <x:t xml:space="preserve">Arrastrar varias imágenes juntas</x:t>
        </x:is>
      </x:c>
      <x:c r="E9" s="7" t="inlineStr">
        <x:is>
          <x:t xml:space="preserve">Editar un remate y disponer de tres JPG/PNG/WebP menores a 700 KB.</x:t>
        </x:is>
      </x:c>
      <x:c r="F9" s="7" t="inlineStr">
        <x:is>
          <x:t xml:space="preserve">Tres archivos con nombres diferentes.</x:t>
        </x:is>
      </x:c>
      <x:c r="G9" s="7" t="inlineStr">
        <x:is>
          <x:t xml:space="preserve">1. Arrastrar los tres archivos juntos a la zona de carga.
2. Revisar las entradas creadas.
3. Asignar nombres y guardar.</x:t>
        </x:is>
      </x:c>
      <x:c r="H9" s="7" t="inlineStr">
        <x:is>
          <x:t xml:space="preserve">Se agregan las tres imágenes en una sola operación, cada una con su campo de nombre y sin reemplazar a las demás.</x:t>
        </x:is>
      </x:c>
      <x:c r="I9" s="7" t="inlineStr">
        <x:is>
          <x:t xml:space="preserve">Pérdida de archivos en una carga múltiple.</x:t>
        </x:is>
      </x:c>
      <x:c r="J9" s="7" t="str">
        <x:v>No ejecutado</x:v>
      </x:c>
      <x:c r="K9" s="7" t="str">
        <x:v>Pendiente de comprobación manual.</x:v>
      </x:c>
      <x:c r="L9" s="7" t="str">
        <x:v>La automatización no puede arrastrar archivos desde el sistema operativo. La carga múltiple por selector se verificó en CAT-007.</x:v>
      </x:c>
      <x:c r="M9" s="8" t="str">
        <x:v>01/09/2026</x:v>
      </x:c>
      <x:c r="N9" s="9" t="str">
        <x:v>Codex</x:v>
      </x:c>
    </x:row>
    <x:row r="10" ht="96" customHeight="1">
      <x:c r="A10" s="13" t="inlineStr">
        <x:is>
          <x:t xml:space="preserve">CAT-014</x:t>
        </x:is>
      </x:c>
      <x:c r="B10" s="11" t="inlineStr">
        <x:is>
          <x:t xml:space="preserve">Alta</x:t>
        </x:is>
      </x:c>
      <x:c r="C10" s="7" t="inlineStr">
        <x:is>
          <x:t xml:space="preserve">Validación</x:t>
        </x:is>
      </x:c>
      <x:c r="D10" s="7" t="inlineStr">
        <x:is>
          <x:t xml:space="preserve">Exigir nombre para cada imagen agregada</x:t>
        </x:is>
      </x:c>
      <x:c r="E10" s="7" t="inlineStr">
        <x:is>
          <x:t xml:space="preserve">Agregar al menos una imagen válida a un remate.</x:t>
        </x:is>
      </x:c>
      <x:c r="F10" s="7" t="inlineStr">
        <x:is>
          <x:t xml:space="preserve">Dejar vacío el nombre de una de las imágenes.</x:t>
        </x:is>
      </x:c>
      <x:c r="G10" s="7" t="inlineStr">
        <x:is>
          <x:t xml:space="preserve">1. Borrar el nombre.
2. Intentar guardar o publicar.
3. Completar el nombre y repetir.</x:t>
        </x:is>
      </x:c>
      <x:c r="H10" s="7" t="inlineStr">
        <x:is>
          <x:t xml:space="preserve">Bloquea el guardado mientras falte el nombre; al completarlo permite continuar.</x:t>
        </x:is>
      </x:c>
      <x:c r="I10" s="7" t="inlineStr">
        <x:is>
          <x:t xml:space="preserve">Imagen publicada sin identificación accesible.</x:t>
        </x:is>
      </x:c>
      <x:c r="J10" s="7" t="str">
        <x:v>Aprobado</x:v>
      </x:c>
      <x:c r="K10" s="7" t="str">
        <x:v>Coincide con el resultado esperado.</x:v>
      </x:c>
      <x:c r="L10" s="7" t="str">
        <x:v>El guardado se bloqueó hasta completar el nombre de cada una de las seis imágenes.</x:v>
      </x:c>
      <x:c r="M10" s="8" t="str">
        <x:v>01/09/2026</x:v>
      </x:c>
      <x:c r="N10" s="9" t="str">
        <x:v>Codex</x:v>
      </x:c>
    </x:row>
    <x:row r="11" ht="96" customHeight="1">
      <x:c r="A11" s="13" t="inlineStr">
        <x:is>
          <x:t xml:space="preserve">CAT-015</x:t>
        </x:is>
      </x:c>
      <x:c r="B11" s="11" t="inlineStr">
        <x:is>
          <x:t xml:space="preserve">Media</x:t>
        </x:is>
      </x:c>
      <x:c r="C11" s="7" t="inlineStr">
        <x:is>
          <x:t xml:space="preserve">Opcional</x:t>
        </x:is>
      </x:c>
      <x:c r="D11" s="7" t="inlineStr">
        <x:is>
          <x:t xml:space="preserve">Guardar lote destacado sin fotografía</x:t>
        </x:is>
      </x:c>
      <x:c r="E11" s="7" t="inlineStr">
        <x:is>
          <x:t xml:space="preserve">Editar un remate que permita agregar lotes destacados.</x:t>
        </x:is>
      </x:c>
      <x:c r="F11" s="7" t="inlineStr">
        <x:is>
          <x:t xml:space="preserve">Nombre: Arado de tres discos.
Fotografía: ninguna.</x:t>
        </x:is>
      </x:c>
      <x:c r="G11" s="7" t="inlineStr">
        <x:is>
          <x:t xml:space="preserve">1. Agregar el lote.
2. Completar solo el nombre.
3. Guardar o publicar.
4. Abrir el detalle.</x:t>
        </x:is>
      </x:c>
      <x:c r="H11" s="7" t="inlineStr">
        <x:is>
          <x:t xml:space="preserve">Acepta el lote sin foto y el detalle no muestra una imagen rota ni un espacio de control vacío.</x:t>
        </x:is>
      </x:c>
      <x:c r="I11" s="7" t="inlineStr">
        <x:is>
          <x:t xml:space="preserve">Obligatoriedad accidental de fotografías opcionales.</x:t>
        </x:is>
      </x:c>
      <x:c r="J11" s="7" t="str">
        <x:v>Fallido</x:v>
      </x:c>
      <x:c r="K11" s="7" t="str">
        <x:v>No coincide con el resultado esperado.</x:v>
      </x:c>
      <x:c r="L11" s="7" t="str">
        <x:v>No existe una acción para crear un lote sin fotografía: cada lote se genera únicamente al cargar una imagen.</x:v>
      </x:c>
      <x:c r="M11" s="8" t="str">
        <x:v>01/09/2026</x:v>
      </x:c>
      <x:c r="N11" s="9" t="str">
        <x:v>Codex</x:v>
      </x:c>
    </x:row>
    <x:row r="12" ht="96" customHeight="1"/>
    <x:row r="13" ht="96" customHeight="1"/>
  </x:sheetData>
  <x:conditionalFormatting sqref="J2:J11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1"/>
  </x:dataValidations>
  <x:pageMargins left="0.7" right="0.7" top="0.75" bottom="0.75" header="0.3" footer="0.3"/>
  <x:tableParts count="1">
    <x:tablePart xmlns:r="http://schemas.openxmlformats.org/officeDocument/2006/relationships" r:id="R130be1f22883434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WEB-001</x:t>
        </x:is>
      </x:c>
      <x:c r="B2" s="10" t="inlineStr">
        <x:is>
          <x:t xml:space="preserve">Alta</x:t>
        </x:is>
      </x:c>
      <x:c r="C2" s="36" t="inlineStr">
        <x:is>
          <x:t xml:space="preserve">Navegación</x:t>
        </x:is>
      </x:c>
      <x:c r="D2" s="36" t="inlineStr">
        <x:is>
          <x:t xml:space="preserve">Enlaces del menú principal</x:t>
        </x:is>
      </x:c>
      <x:c r="E2" s="36" t="inlineStr">
        <x:is>
          <x:t xml:space="preserve">Home abierta desde arriba.</x:t>
        </x:is>
      </x:c>
      <x:c r="F2" s="36" t="inlineStr">
        <x:is>
          <x:t xml:space="preserve">Próximos remates, Catálogos, Cómo participar, La empresa, Contactar.</x:t>
        </x:is>
      </x:c>
      <x:c r="G2" s="36" t="inlineStr">
        <x:is>
          <x:t xml:space="preserve">1. Presionar cada enlace por separado.
2. Revisar la sección de llegada.</x:t>
        </x:is>
      </x:c>
      <x:c r="H2" s="36" t="inlineStr">
        <x:is>
          <x:t xml:space="preserve">Cada enlace desplaza a la sección correcta sin recargar en una posición incorrecta.</x:t>
        </x:is>
      </x:c>
      <x:c r="I2" s="36" t="inlineStr">
        <x:is>
          <x:t xml:space="preserve">Navegación interna rota.</x:t>
        </x:is>
      </x:c>
      <x:c r="J2" s="36" t="inlineStr">
        <x:is>
          <x:t xml:space="preserve">No ejecutado</x:t>
        </x:is>
      </x:c>
      <x:c r="K2" s="36" t="n"/>
      <x:c r="L2" s="36" t="n"/>
      <x:c r="M2" s="37" t="n"/>
      <x:c r="N2" s="38" t="n"/>
    </x:row>
    <x:row r="3" ht="96" customHeight="1">
      <x:c r="A3" s="12" t="inlineStr">
        <x:is>
          <x:t xml:space="preserve">WEB-002</x:t>
        </x:is>
      </x:c>
      <x:c r="B3" s="10" t="inlineStr">
        <x:is>
          <x:t xml:space="preserve">Media</x:t>
        </x:is>
      </x:c>
      <x:c r="C3" s="36" t="inlineStr">
        <x:is>
          <x:t xml:space="preserve">Navegación</x:t>
        </x:is>
      </x:c>
      <x:c r="D3" s="36" t="inlineStr">
        <x:is>
          <x:t xml:space="preserve">Logo vuelve al inicio exacto</x:t>
        </x:is>
      </x:c>
      <x:c r="E3" s="36" t="inlineStr">
        <x:is>
          <x:t xml:space="preserve">Estar al final de la home o en un detalle.</x:t>
        </x:is>
      </x:c>
      <x:c r="F3" s="36" t="inlineStr">
        <x:is>
          <x:t xml:space="preserve">Logo Zunino Remates.</x:t>
        </x:is>
      </x:c>
      <x:c r="G3" s="36" t="inlineStr">
        <x:is>
          <x:t xml:space="preserve">1. Presionar el logo.
2. Esperar el desplazamiento.</x:t>
        </x:is>
      </x:c>
      <x:c r="H3" s="36" t="inlineStr">
        <x:is>
          <x:t xml:space="preserve">La ruta queda en / y la pantalla llega al comienzo superior.</x:t>
        </x:is>
      </x:c>
      <x:c r="I3" s="36" t="inlineStr">
        <x:is>
          <x:t xml:space="preserve">Logo deja la vista algunos píxeles abajo.</x:t>
        </x:is>
      </x:c>
      <x:c r="J3" s="36" t="inlineStr">
        <x:is>
          <x:t xml:space="preserve">No ejecutado</x:t>
        </x:is>
      </x:c>
      <x:c r="K3" s="36" t="n"/>
      <x:c r="L3" s="36" t="n"/>
      <x:c r="M3" s="37" t="n"/>
      <x:c r="N3" s="38" t="n"/>
    </x:row>
    <x:row r="4" ht="96" customHeight="1">
      <x:c r="A4" s="12" t="inlineStr">
        <x:is>
          <x:t xml:space="preserve">WEB-003</x:t>
        </x:is>
      </x:c>
      <x:c r="B4" s="10" t="inlineStr">
        <x:is>
          <x:t xml:space="preserve">Alta</x:t>
        </x:is>
      </x:c>
      <x:c r="C4" s="36" t="inlineStr">
        <x:is>
          <x:t xml:space="preserve">Detalle</x:t>
        </x:is>
      </x:c>
      <x:c r="D4" s="36" t="inlineStr">
        <x:is>
          <x:t xml:space="preserve">Abrir detalle desde una tarjeta</x:t>
        </x:is>
      </x:c>
      <x:c r="E4" s="36" t="inlineStr">
        <x:is>
          <x:t xml:space="preserve">Tener un remate publicado.</x:t>
        </x:is>
      </x:c>
      <x:c r="F4" s="36" t="inlineStr">
        <x:is>
          <x:t xml:space="preserve">Enlace Ver detalle del remate.</x:t>
        </x:is>
      </x:c>
      <x:c r="G4" s="36" t="inlineStr">
        <x:is>
          <x:t xml:space="preserve">1. Presionar el enlace.
2. Revisar título, fecha, ubicación, descripción, requisitos y condiciones.</x:t>
        </x:is>
      </x:c>
      <x:c r="H4" s="36" t="inlineStr">
        <x:is>
          <x:t xml:space="preserve">La URL usa el slug correcto y todos los datos corresponden al remate elegido.</x:t>
        </x:is>
      </x:c>
      <x:c r="I4" s="36" t="inlineStr">
        <x:is>
          <x:t xml:space="preserve">Cruce de información entre remates.</x:t>
        </x:is>
      </x:c>
      <x:c r="J4" s="36" t="inlineStr">
        <x:is>
          <x:t xml:space="preserve">No ejecutado</x:t>
        </x:is>
      </x:c>
      <x:c r="K4" s="36" t="n"/>
      <x:c r="L4" s="36" t="n"/>
      <x:c r="M4" s="37" t="n"/>
      <x:c r="N4" s="38" t="n"/>
    </x:row>
    <x:row r="5" ht="96" customHeight="1">
      <x:c r="A5" s="12" t="inlineStr">
        <x:is>
          <x:t xml:space="preserve">WEB-004</x:t>
        </x:is>
      </x:c>
      <x:c r="B5" s="10" t="inlineStr">
        <x:is>
          <x:t xml:space="preserve">Alta</x:t>
        </x:is>
      </x:c>
      <x:c r="C5" s="36" t="inlineStr">
        <x:is>
          <x:t xml:space="preserve">Negativo</x:t>
        </x:is>
      </x:c>
      <x:c r="D5" s="36" t="inlineStr">
        <x:is>
          <x:t xml:space="preserve">Ruta de remate inexistente</x:t>
        </x:is>
      </x:c>
      <x:c r="E5" s="36" t="inlineStr">
        <x:is>
          <x:t xml:space="preserve">Servidor de desarrollo activo.</x:t>
        </x:is>
      </x:c>
      <x:c r="F5" s="36" t="inlineStr">
        <x:is>
          <x:t xml:space="preserve">URL: /remates/remate-que-no-existe</x:t>
        </x:is>
      </x:c>
      <x:c r="G5" s="36" t="inlineStr">
        <x:is>
          <x:t xml:space="preserve">1. Abrir la URL manualmente.
2. Presionar Volver a próximos remates.</x:t>
        </x:is>
      </x:c>
      <x:c r="H5" s="36" t="inlineStr">
        <x:is>
          <x:t xml:space="preserve">Muestra No encontramos ese evento y vuelve a la sección de próximos remates.</x:t>
        </x:is>
      </x:c>
      <x:c r="I5" s="36" t="inlineStr">
        <x:is>
          <x:t xml:space="preserve">Pantalla en blanco o error de aplicación.</x:t>
        </x:is>
      </x:c>
      <x:c r="J5" s="36" t="inlineStr">
        <x:is>
          <x:t xml:space="preserve">No ejecutado</x:t>
        </x:is>
      </x:c>
      <x:c r="K5" s="36" t="n"/>
      <x:c r="L5" s="36" t="n"/>
      <x:c r="M5" s="37" t="n"/>
      <x:c r="N5" s="38" t="n"/>
    </x:row>
    <x:row r="6" ht="96" customHeight="1">
      <x:c r="A6" s="12" t="inlineStr">
        <x:is>
          <x:t xml:space="preserve">WEB-005</x:t>
        </x:is>
      </x:c>
      <x:c r="B6" s="10" t="inlineStr">
        <x:is>
          <x:t xml:space="preserve">Alta</x:t>
        </x:is>
      </x:c>
      <x:c r="C6" s="36" t="inlineStr">
        <x:is>
          <x:t xml:space="preserve">Estado</x:t>
        </x:is>
      </x:c>
      <x:c r="D6" s="36" t="inlineStr">
        <x:is>
          <x:t xml:space="preserve">Solo mostrar remates publicados</x:t>
        </x:is>
      </x:c>
      <x:c r="E6" s="36" t="inlineStr">
        <x:is>
          <x:t xml:space="preserve">Tener remates en Borrador, En revisión, Publicado, Oculto, Finalizado y Cancelado.</x:t>
        </x:is>
      </x:c>
      <x:c r="F6" s="36" t="inlineStr">
        <x:is>
          <x:t xml:space="preserve">Estados administrativos completos.</x:t>
        </x:is>
      </x:c>
      <x:c r="G6" s="36" t="inlineStr">
        <x:is>
          <x:t xml:space="preserve">1. Abrir la home.
2. Buscar cada título.</x:t>
        </x:is>
      </x:c>
      <x:c r="H6" s="36" t="inlineStr">
        <x:is>
          <x:t xml:space="preserve">Solo el remate Publicado aparece en agenda y catálogos; los demás no se exponen públicamente.</x:t>
        </x:is>
      </x:c>
      <x:c r="I6" s="36" t="inlineStr">
        <x:is>
          <x:t xml:space="preserve">Filtración de contenido incompleto.</x:t>
        </x:is>
      </x:c>
      <x:c r="J6" s="36" t="inlineStr">
        <x:is>
          <x:t xml:space="preserve">No ejecutado</x:t>
        </x:is>
      </x:c>
      <x:c r="K6" s="36" t="n"/>
      <x:c r="L6" s="36" t="n"/>
      <x:c r="M6" s="37" t="n"/>
      <x:c r="N6" s="38" t="n"/>
    </x:row>
    <x:row r="7" ht="96" customHeight="1">
      <x:c r="A7" s="12" t="inlineStr">
        <x:is>
          <x:t xml:space="preserve">WEB-006</x:t>
        </x:is>
      </x:c>
      <x:c r="B7" s="10" t="inlineStr">
        <x:is>
          <x:t xml:space="preserve">Media</x:t>
        </x:is>
      </x:c>
      <x:c r="C7" s="36" t="inlineStr">
        <x:is>
          <x:t xml:space="preserve">FAQ</x:t>
        </x:is>
      </x:c>
      <x:c r="D7" s="36" t="inlineStr">
        <x:is>
          <x:t xml:space="preserve">Abrir preguntas frecuentes</x:t>
        </x:is>
      </x:c>
      <x:c r="E7" s="36" t="inlineStr">
        <x:is>
          <x:t xml:space="preserve">Home en sección Todo lo que necesitás saber.</x:t>
        </x:is>
      </x:c>
      <x:c r="F7" s="36" t="inlineStr">
        <x:is>
          <x:t xml:space="preserve">Abrir tres preguntas, incluida ¿Me tengo que registrar previamente?</x:t>
        </x:is>
      </x:c>
      <x:c r="G7" s="36" t="inlineStr">
        <x:is>
          <x:t xml:space="preserve">1. Presionar cada pregunta.
2. Volver a cerrarla.</x:t>
        </x:is>
      </x:c>
      <x:c r="H7" s="36" t="inlineStr">
        <x:is>
          <x:t xml:space="preserve">Pregunta y respuesta se expanden correctamente; no se superponen.</x:t>
        </x:is>
      </x:c>
      <x:c r="I7" s="36" t="inlineStr">
        <x:is>
          <x:t xml:space="preserve">Contenido inaccesible.</x:t>
        </x:is>
      </x:c>
      <x:c r="J7" s="36" t="inlineStr">
        <x:is>
          <x:t xml:space="preserve">No ejecutado</x:t>
        </x:is>
      </x:c>
      <x:c r="K7" s="36" t="n"/>
      <x:c r="L7" s="36" t="n"/>
      <x:c r="M7" s="37" t="n"/>
      <x:c r="N7" s="38" t="n"/>
    </x:row>
    <x:row r="8" ht="96" customHeight="1">
      <x:c r="A8" s="12" t="inlineStr">
        <x:is>
          <x:t xml:space="preserve">WEB-007</x:t>
        </x:is>
      </x:c>
      <x:c r="B8" s="10" t="inlineStr">
        <x:is>
          <x:t xml:space="preserve">Media</x:t>
        </x:is>
      </x:c>
      <x:c r="C8" s="36" t="inlineStr">
        <x:is>
          <x:t xml:space="preserve">Mapa</x:t>
        </x:is>
      </x:c>
      <x:c r="D8" s="36" t="inlineStr">
        <x:is>
          <x:t xml:space="preserve">Abrir ubicación en Google Maps</x:t>
        </x:is>
      </x:c>
      <x:c r="E8" s="36" t="inlineStr">
        <x:is>
          <x:t xml:space="preserve">Dirección configurada en Contenido general.</x:t>
        </x:is>
      </x:c>
      <x:c r="F8" s="36" t="inlineStr">
        <x:is>
          <x:t xml:space="preserve">Dirección: Av. 18 de Julio 1234, Montevideo.</x:t>
        </x:is>
      </x:c>
      <x:c r="G8" s="36" t="inlineStr">
        <x:is>
          <x:t xml:space="preserve">1. Presionar Ver ubicación en Google Maps.
2. Revisar búsqueda.</x:t>
        </x:is>
      </x:c>
      <x:c r="H8" s="36" t="inlineStr">
        <x:is>
          <x:t xml:space="preserve">Se abre otra pestaña con la dirección codificada correctamente.</x:t>
        </x:is>
      </x:c>
      <x:c r="I8" s="36" t="inlineStr">
        <x:is>
          <x:t xml:space="preserve">Mapa apunta a una ubicación distinta.</x:t>
        </x:is>
      </x:c>
      <x:c r="J8" s="36" t="inlineStr">
        <x:is>
          <x:t xml:space="preserve">No ejecutado</x:t>
        </x:is>
      </x:c>
      <x:c r="K8" s="36" t="n"/>
      <x:c r="L8" s="36" t="n"/>
      <x:c r="M8" s="37" t="n"/>
      <x:c r="N8" s="38" t="n"/>
    </x:row>
    <x:row r="9" ht="96" customHeight="1">
      <x:c r="A9" s="12" t="inlineStr">
        <x:is>
          <x:t xml:space="preserve">WEB-008</x:t>
        </x:is>
      </x:c>
      <x:c r="B9" s="10" t="inlineStr">
        <x:is>
          <x:t xml:space="preserve">Media</x:t>
        </x:is>
      </x:c>
      <x:c r="C9" s="36" t="inlineStr">
        <x:is>
          <x:t xml:space="preserve">SEO</x:t>
        </x:is>
      </x:c>
      <x:c r="D9" s="36" t="inlineStr">
        <x:is>
          <x:t xml:space="preserve">Título del navegador en home y detalle</x:t>
        </x:is>
      </x:c>
      <x:c r="E9" s="36" t="inlineStr">
        <x:is>
          <x:t xml:space="preserve">Home y un remate publicado disponibles.</x:t>
        </x:is>
      </x:c>
      <x:c r="F9" s="36" t="inlineStr">
        <x:is>
          <x:t xml:space="preserve">Home; detalle Mobiliario y antigüedades.</x:t>
        </x:is>
      </x:c>
      <x:c r="G9" s="36" t="inlineStr">
        <x:is>
          <x:t xml:space="preserve">1. Revisar el título de pestaña en home.
2. Abrir detalle y volver a revisar.</x:t>
        </x:is>
      </x:c>
      <x:c r="H9" s="36" t="inlineStr">
        <x:is>
          <x:t xml:space="preserve">Home identifica Zunino Remates; detalle incluye el título específico del remate.</x:t>
        </x:is>
      </x:c>
      <x:c r="I9" s="36" t="inlineStr">
        <x:is>
          <x:t xml:space="preserve">Páginas indistinguibles para buscadores.</x:t>
        </x:is>
      </x:c>
      <x:c r="J9" s="36" t="inlineStr">
        <x:is>
          <x:t xml:space="preserve">No ejecutado</x:t>
        </x:is>
      </x:c>
      <x:c r="K9" s="36" t="n"/>
      <x:c r="L9" s="36" t="n"/>
      <x:c r="M9" s="37" t="n"/>
      <x:c r="N9" s="38" t="n"/>
    </x:row>
    <x:row r="10" ht="96" customHeight="1">
      <x:c r="A10" s="12" t="inlineStr">
        <x:is>
          <x:t xml:space="preserve">WEB-009</x:t>
        </x:is>
      </x:c>
      <x:c r="B10" s="10" t="inlineStr">
        <x:is>
          <x:t xml:space="preserve">Media</x:t>
        </x:is>
      </x:c>
      <x:c r="C10" s="36" t="inlineStr">
        <x:is>
          <x:t xml:space="preserve">Vacío</x:t>
        </x:is>
      </x:c>
      <x:c r="D10" s="36" t="inlineStr">
        <x:is>
          <x:t xml:space="preserve">Sitio sin remates publicados</x:t>
        </x:is>
      </x:c>
      <x:c r="E10" s="36" t="inlineStr">
        <x:is>
          <x:t xml:space="preserve">Finalizar temporalmente todos los remates publicados.</x:t>
        </x:is>
      </x:c>
      <x:c r="F10" s="36" t="inlineStr">
        <x:is>
          <x:t xml:space="preserve">No deben quedar estados publicado.</x:t>
        </x:is>
      </x:c>
      <x:c r="G10" s="36" t="inlineStr">
        <x:is>
          <x:t xml:space="preserve">1. Abrir la home.
2. Revisar portada, agenda y catálogos.</x:t>
        </x:is>
      </x:c>
      <x:c r="H10" s="36" t="inlineStr">
        <x:is>
          <x:t xml:space="preserve">La portada informa que hay remates en preparación; no aparecen tarjetas rotas.</x:t>
        </x:is>
      </x:c>
      <x:c r="I10" s="36" t="inlineStr">
        <x:is>
          <x:t xml:space="preserve">Arrays vacíos no contemplados.</x:t>
        </x:is>
      </x:c>
      <x:c r="J10" s="36" t="inlineStr">
        <x:is>
          <x:t xml:space="preserve">No ejecutado</x:t>
        </x:is>
      </x:c>
      <x:c r="K10" s="36" t="n"/>
      <x:c r="L10" s="36" t="n"/>
      <x:c r="M10" s="37" t="n"/>
      <x:c r="N10" s="38" t="n"/>
    </x:row>
    <x:row r="11" ht="96" customHeight="1">
      <x:c r="A11" s="13" t="inlineStr">
        <x:is>
          <x:t xml:space="preserve">WEB-010</x:t>
        </x:is>
      </x:c>
      <x:c r="B11" s="11" t="inlineStr">
        <x:is>
          <x:t xml:space="preserve">Media</x:t>
        </x:is>
      </x:c>
      <x:c r="C11" s="7" t="inlineStr">
        <x:is>
          <x:t xml:space="preserve">Persistencia</x:t>
        </x:is>
      </x:c>
      <x:c r="D11" s="7" t="inlineStr">
        <x:is>
          <x:t xml:space="preserve">Cambios visibles entre dos pestañas</x:t>
        </x:is>
      </x:c>
      <x:c r="E11" s="7" t="inlineStr">
        <x:is>
          <x:t xml:space="preserve">Panel y sitio público abiertos en pestañas distintas.</x:t>
        </x:is>
      </x:c>
      <x:c r="F11" s="7" t="inlineStr">
        <x:is>
          <x:t xml:space="preserve">Editar descripción breve y publicar.</x:t>
        </x:is>
      </x:c>
      <x:c r="G11" s="7" t="inlineStr">
        <x:is>
          <x:t xml:space="preserve">1. Guardar en el panel.
2. Recargar la pestaña pública.</x:t>
        </x:is>
      </x:c>
      <x:c r="H11" s="7" t="inlineStr">
        <x:is>
          <x:t xml:space="preserve">Al recargar, la web muestra el cambio guardado en el mismo navegador.</x:t>
        </x:is>
      </x:c>
      <x:c r="I11" s="7" t="inlineStr">
        <x:is>
          <x:t xml:space="preserve">Desincronización de datos locales.</x:t>
        </x:is>
      </x:c>
      <x:c r="J11" s="7" t="inlineStr">
        <x:is>
          <x:t xml:space="preserve">No ejecutado</x:t>
        </x:is>
      </x:c>
      <x:c r="K11" s="7" t="n"/>
      <x:c r="L11" s="7" t="n"/>
      <x:c r="M11" s="8" t="n"/>
      <x:c r="N11" s="9" t="n"/>
    </x:row>
    <x:row r="12" ht="96" customHeight="1">
      <x:c r="A12" s="13" t="inlineStr">
        <x:is>
          <x:t xml:space="preserve">WEB-011</x:t>
        </x:is>
      </x:c>
      <x:c r="B12" s="11" t="inlineStr">
        <x:is>
          <x:t xml:space="preserve">Alta</x:t>
        </x:is>
      </x:c>
      <x:c r="C12" s="7" t="inlineStr">
        <x:is>
          <x:t xml:space="preserve">Privacidad</x:t>
        </x:is>
      </x:c>
      <x:c r="D12" s="7" t="inlineStr">
        <x:is>
          <x:t xml:space="preserve">Bloquear URL de cualquier remate no publicado</x:t>
        </x:is>
      </x:c>
      <x:c r="E12" s="7" t="inlineStr">
        <x:is>
          <x:t xml:space="preserve">Conocer los slugs de remates en Borrador, En revisión, Oculto, Finalizado y Cancelado.</x:t>
        </x:is>
      </x:c>
      <x:c r="F12" s="7" t="inlineStr">
        <x:is>
          <x:t xml:space="preserve">Abrir manualmente /remates/&lt;slug&gt; para cada estado.</x:t>
        </x:is>
      </x:c>
      <x:c r="G12" s="7" t="inlineStr">
        <x:is>
          <x:t xml:space="preserve">1. Probar cada URL sin sesión administrativa.
2. Recargar directamente cada dirección.
3. Usar el botón para volver.</x:t>
        </x:is>
      </x:c>
      <x:c r="H12" s="7" t="inlineStr">
        <x:is>
          <x:t xml:space="preserve">Ninguno muestra información del remate; todos presentan el estado de no encontrado y permiten volver a próximos remates.</x:t>
        </x:is>
      </x:c>
      <x:c r="I12" s="7" t="inlineStr">
        <x:is>
          <x:t xml:space="preserve">Exposición de contenido no publicado por URL directa.</x:t>
        </x:is>
      </x:c>
      <x:c r="J12" s="7" t="inlineStr">
        <x:is>
          <x:t xml:space="preserve">No ejecutado</x:t>
        </x:is>
      </x:c>
      <x:c r="K12" s="7" t="n"/>
      <x:c r="L12" s="7" t="n"/>
      <x:c r="M12" s="8" t="n"/>
      <x:c r="N12" s="9" t="n"/>
    </x:row>
  </x:sheetData>
  <x:conditionalFormatting sqref="J2:J1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2"/>
  </x:dataValidations>
  <x:pageMargins left="0.7" right="0.7" top="0.75" bottom="0.75" header="0.3" footer="0.3"/>
  <x:tableParts count="1">
    <x:tablePart xmlns:r="http://schemas.openxmlformats.org/officeDocument/2006/relationships" r:id="R1aaca587cab64e2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CON-001</x:t>
        </x:is>
      </x:c>
      <x:c r="B2" s="10" t="inlineStr">
        <x:is>
          <x:t xml:space="preserve">Alta</x:t>
        </x:is>
      </x:c>
      <x:c r="C2" s="36" t="inlineStr">
        <x:is>
          <x:t xml:space="preserve">Validación</x:t>
        </x:is>
      </x:c>
      <x:c r="D2" s="36" t="inlineStr">
        <x:is>
          <x:t xml:space="preserve">Nombre obligatorio al salir del campo</x:t>
        </x:is>
      </x:c>
      <x:c r="E2" s="36" t="inlineStr">
        <x:is>
          <x:t xml:space="preserve">Home &gt; Contacto.</x:t>
        </x:is>
      </x:c>
      <x:c r="F2" s="36" t="inlineStr">
        <x:is>
          <x:t xml:space="preserve">Nombre vacío.</x:t>
        </x:is>
      </x:c>
      <x:c r="G2" s="36" t="inlineStr">
        <x:is>
          <x:t xml:space="preserve">1. Enfocar Nombre.
2. Salir con Tab sin escribir.</x:t>
        </x:is>
      </x:c>
      <x:c r="H2" s="36" t="inlineStr">
        <x:is>
          <x:t xml:space="preserve">Muestra El nombre es obligatorio antes de intentar enviar.</x:t>
        </x:is>
      </x:c>
      <x:c r="I2" s="36" t="inlineStr">
        <x:is>
          <x:t xml:space="preserve">Validación tardía.</x:t>
        </x:is>
      </x:c>
      <x:c r="J2" s="36" t="inlineStr">
        <x:is>
          <x:t xml:space="preserve">No ejecutado</x:t>
        </x:is>
      </x:c>
      <x:c r="K2" s="36" t="n"/>
      <x:c r="L2" s="36" t="n"/>
      <x:c r="M2" s="37" t="n"/>
      <x:c r="N2" s="38" t="n"/>
    </x:row>
    <x:row r="3" ht="96" customHeight="1">
      <x:c r="A3" s="12" t="inlineStr">
        <x:is>
          <x:t xml:space="preserve">CON-002</x:t>
        </x:is>
      </x:c>
      <x:c r="B3" s="10" t="inlineStr">
        <x:is>
          <x:t xml:space="preserve">Alta</x:t>
        </x:is>
      </x:c>
      <x:c r="C3" s="36" t="inlineStr">
        <x:is>
          <x:t xml:space="preserve">Validación</x:t>
        </x:is>
      </x:c>
      <x:c r="D3" s="36" t="inlineStr">
        <x:is>
          <x:t xml:space="preserve">Email inválido al salir del campo</x:t>
        </x:is>
      </x:c>
      <x:c r="E3" s="36" t="inlineStr">
        <x:is>
          <x:t xml:space="preserve">Home &gt; Contacto.</x:t>
        </x:is>
      </x:c>
      <x:c r="F3" s="36" t="inlineStr">
        <x:is>
          <x:t xml:space="preserve">Email: pablo@</x:t>
        </x:is>
      </x:c>
      <x:c r="G3" s="36" t="inlineStr">
        <x:is>
          <x:t xml:space="preserve">1. Escribir el email.
2. Salir con Tab.</x:t>
        </x:is>
      </x:c>
      <x:c r="H3" s="36" t="inlineStr">
        <x:is>
          <x:t xml:space="preserve">Muestra Ingresá un email válido inmediatamente después del blur.</x:t>
        </x:is>
      </x:c>
      <x:c r="I3" s="36" t="inlineStr">
        <x:is>
          <x:t xml:space="preserve">Consultas sin dirección de respuesta.</x:t>
        </x:is>
      </x:c>
      <x:c r="J3" s="36" t="inlineStr">
        <x:is>
          <x:t xml:space="preserve">No ejecutado</x:t>
        </x:is>
      </x:c>
      <x:c r="K3" s="36" t="n"/>
      <x:c r="L3" s="36" t="n"/>
      <x:c r="M3" s="37" t="n"/>
      <x:c r="N3" s="38" t="n"/>
    </x:row>
    <x:row r="4" ht="96" customHeight="1">
      <x:c r="A4" s="12" t="inlineStr">
        <x:is>
          <x:t xml:space="preserve">CON-003</x:t>
        </x:is>
      </x:c>
      <x:c r="B4" s="10" t="inlineStr">
        <x:is>
          <x:t xml:space="preserve">Media</x:t>
        </x:is>
      </x:c>
      <x:c r="C4" s="36" t="inlineStr">
        <x:is>
          <x:t xml:space="preserve">Extremo</x:t>
        </x:is>
      </x:c>
      <x:c r="D4" s="36" t="inlineStr">
        <x:is>
          <x:t xml:space="preserve">Variantes de email</x:t>
        </x:is>
      </x:c>
      <x:c r="E4" s="36" t="inlineStr">
        <x:is>
          <x:t xml:space="preserve">Home &gt; Contacto.</x:t>
        </x:is>
      </x:c>
      <x:c r="F4" s="36" t="inlineStr">
        <x:is>
          <x:t xml:space="preserve">Probar: pablo; pablo@dominio; pablo @mail.com; pablo+remate@mail.com; pablo.caffaro@sub.dominio.uy</x:t>
        </x:is>
      </x:c>
      <x:c r="G4" s="36" t="inlineStr">
        <x:is>
          <x:t xml:space="preserve">1. Probar cada valor y salir del campo.
2. Registrar aceptado/rechazado.</x:t>
        </x:is>
      </x:c>
      <x:c r="H4" s="36" t="inlineStr">
        <x:is>
          <x:t xml:space="preserve">Los tres primeros se rechazan. Los dos últimos se aceptan.</x:t>
        </x:is>
      </x:c>
      <x:c r="I4" s="36" t="inlineStr">
        <x:is>
          <x:t xml:space="preserve">Expresión regular demasiado estricta o permisiva.</x:t>
        </x:is>
      </x:c>
      <x:c r="J4" s="36" t="inlineStr">
        <x:is>
          <x:t xml:space="preserve">No ejecutado</x:t>
        </x:is>
      </x:c>
      <x:c r="K4" s="36" t="n"/>
      <x:c r="L4" s="36" t="n"/>
      <x:c r="M4" s="37" t="n"/>
      <x:c r="N4" s="38" t="n"/>
    </x:row>
    <x:row r="5" ht="96" customHeight="1">
      <x:c r="A5" s="12" t="inlineStr">
        <x:is>
          <x:t xml:space="preserve">CON-004</x:t>
        </x:is>
      </x:c>
      <x:c r="B5" s="10" t="inlineStr">
        <x:is>
          <x:t xml:space="preserve">Alta</x:t>
        </x:is>
      </x:c>
      <x:c r="C5" s="36" t="inlineStr">
        <x:is>
          <x:t xml:space="preserve">Validación</x:t>
        </x:is>
      </x:c>
      <x:c r="D5" s="36" t="inlineStr">
        <x:is>
          <x:t xml:space="preserve">Enviar todos los campos vacíos</x:t>
        </x:is>
      </x:c>
      <x:c r="E5" s="36" t="inlineStr">
        <x:is>
          <x:t xml:space="preserve">Formulario limpio.</x:t>
        </x:is>
      </x:c>
      <x:c r="F5" s="36" t="inlineStr">
        <x:is>
          <x:t xml:space="preserve">Nombre, email y mensaje vacíos.</x:t>
        </x:is>
      </x:c>
      <x:c r="G5" s="36" t="inlineStr">
        <x:is>
          <x:t xml:space="preserve">1. Presionar Enviar consulta.</x:t>
        </x:is>
      </x:c>
      <x:c r="H5" s="36" t="inlineStr">
        <x:is>
          <x:t xml:space="preserve">Muestra los tres errores juntos y no intenta enviar.</x:t>
        </x:is>
      </x:c>
      <x:c r="I5" s="36" t="inlineStr">
        <x:is>
          <x:t xml:space="preserve">Formulario vacío enviado.</x:t>
        </x:is>
      </x:c>
      <x:c r="J5" s="36" t="inlineStr">
        <x:is>
          <x:t xml:space="preserve">No ejecutado</x:t>
        </x:is>
      </x:c>
      <x:c r="K5" s="36" t="n"/>
      <x:c r="L5" s="36" t="n"/>
      <x:c r="M5" s="37" t="n"/>
      <x:c r="N5" s="38" t="n"/>
    </x:row>
    <x:row r="6" ht="96" customHeight="1">
      <x:c r="A6" s="12" t="inlineStr">
        <x:is>
          <x:t xml:space="preserve">CON-005</x:t>
        </x:is>
      </x:c>
      <x:c r="B6" s="10" t="inlineStr">
        <x:is>
          <x:t xml:space="preserve">Alta</x:t>
        </x:is>
      </x:c>
      <x:c r="C6" s="36" t="inlineStr">
        <x:is>
          <x:t xml:space="preserve">Positivo</x:t>
        </x:is>
      </x:c>
      <x:c r="D6" s="36" t="inlineStr">
        <x:is>
          <x:t xml:space="preserve">Enviar consulta válida</x:t>
        </x:is>
      </x:c>
      <x:c r="E6" s="36" t="inlineStr">
        <x:is>
          <x:t xml:space="preserve">Conexión a Internet activa. FormSubmit puede requerir activar previamente el correo receptor.</x:t>
        </x:is>
      </x:c>
      <x:c r="F6" s="36" t="inlineStr">
        <x:is>
          <x:t xml:space="preserve">Nombre: Ana Ferreira
Email: ana.ferreira+test@mail.com
Mensaje: Quiero consultar por el lote 12 del próximo remate.</x:t>
        </x:is>
      </x:c>
      <x:c r="G6" s="36" t="inlineStr">
        <x:is>
          <x:t xml:space="preserve">1. Completar datos.
2. Enviar.
3. Revisar estado y correo receptor.</x:t>
        </x:is>
      </x:c>
      <x:c r="H6" s="36" t="inlineStr">
        <x:is>
          <x:t xml:space="preserve">Botón muestra Enviando; luego confirma éxito, limpia campos y llega un correo a pablocaffaro2000@gmail.com.</x:t>
        </x:is>
      </x:c>
      <x:c r="I6" s="36" t="inlineStr">
        <x:is>
          <x:t xml:space="preserve">Dependencia externa o correo no entregado.</x:t>
        </x:is>
      </x:c>
      <x:c r="J6" s="36" t="inlineStr">
        <x:is>
          <x:t xml:space="preserve">No ejecutado</x:t>
        </x:is>
      </x:c>
      <x:c r="K6" s="36" t="n"/>
      <x:c r="L6" s="36" t="n"/>
      <x:c r="M6" s="37" t="n"/>
      <x:c r="N6" s="38" t="n"/>
    </x:row>
    <x:row r="7" ht="96" customHeight="1">
      <x:c r="A7" s="12" t="inlineStr">
        <x:is>
          <x:t xml:space="preserve">CON-006</x:t>
        </x:is>
      </x:c>
      <x:c r="B7" s="10" t="inlineStr">
        <x:is>
          <x:t xml:space="preserve">Alta</x:t>
        </x:is>
      </x:c>
      <x:c r="C7" s="36" t="inlineStr">
        <x:is>
          <x:t xml:space="preserve">Error</x:t>
        </x:is>
      </x:c>
      <x:c r="D7" s="36" t="inlineStr">
        <x:is>
          <x:t xml:space="preserve">Fallo de red al enviar</x:t>
        </x:is>
      </x:c>
      <x:c r="E7" s="36" t="inlineStr">
        <x:is>
          <x:t xml:space="preserve">Usar herramientas del navegador para activar Offline.</x:t>
        </x:is>
      </x:c>
      <x:c r="F7" s="36" t="inlineStr">
        <x:is>
          <x:t xml:space="preserve">Nombre: Test Offline
Email: offline@test.com
Mensaje: Prueba sin conexión.</x:t>
        </x:is>
      </x:c>
      <x:c r="G7" s="36" t="inlineStr">
        <x:is>
          <x:t xml:space="preserve">1. Completar.
2. Activar Offline.
3. Enviar.
4. Restaurar red.</x:t>
        </x:is>
      </x:c>
      <x:c r="H7" s="36" t="inlineStr">
        <x:is>
          <x:t xml:space="preserve">Muestra No se pudo enviar y conserva los datos para reintentar.</x:t>
        </x:is>
      </x:c>
      <x:c r="I7" s="36" t="inlineStr">
        <x:is>
          <x:t xml:space="preserve">Pérdida de consulta ante falla externa.</x:t>
        </x:is>
      </x:c>
      <x:c r="J7" s="36" t="inlineStr">
        <x:is>
          <x:t xml:space="preserve">No ejecutado</x:t>
        </x:is>
      </x:c>
      <x:c r="K7" s="36" t="n"/>
      <x:c r="L7" s="36" t="n"/>
      <x:c r="M7" s="37" t="n"/>
      <x:c r="N7" s="38" t="n"/>
    </x:row>
    <x:row r="8" ht="96" customHeight="1">
      <x:c r="A8" s="12" t="inlineStr">
        <x:is>
          <x:t xml:space="preserve">CON-007</x:t>
        </x:is>
      </x:c>
      <x:c r="B8" s="10" t="inlineStr">
        <x:is>
          <x:t xml:space="preserve">Media</x:t>
        </x:is>
      </x:c>
      <x:c r="C8" s="36" t="inlineStr">
        <x:is>
          <x:t xml:space="preserve">Extremo</x:t>
        </x:is>
      </x:c>
      <x:c r="D8" s="36" t="inlineStr">
        <x:is>
          <x:t xml:space="preserve">Espacios y mensaje largo</x:t>
        </x:is>
      </x:c>
      <x:c r="E8" s="36" t="inlineStr">
        <x:is>
          <x:t xml:space="preserve">Formulario abierto.</x:t>
        </x:is>
      </x:c>
      <x:c r="F8" s="36" t="inlineStr">
        <x:is>
          <x:t xml:space="preserve">Nombre: tres espacios
Email: espacios@test.com
Mensaje: texto de 5.000 caracteres.</x:t>
        </x:is>
      </x:c>
      <x:c r="G8" s="36" t="inlineStr">
        <x:is>
          <x:t xml:space="preserve">1. Probar nombre solo con espacios y salir.
2. Corregir nombre.
3. Pegar mensaje largo.</x:t>
        </x:is>
      </x:c>
      <x:c r="H8" s="36" t="inlineStr">
        <x:is>
          <x:t xml:space="preserve">Los espacios se consideran vacío. La interfaz soporta el mensaje largo sin romper el diseño.</x:t>
        </x:is>
      </x:c>
      <x:c r="I8" s="36" t="inlineStr">
        <x:is>
          <x:t xml:space="preserve">Datos vacíos encubiertos o desborde visual.</x:t>
        </x:is>
      </x:c>
      <x:c r="J8" s="36" t="inlineStr">
        <x:is>
          <x:t xml:space="preserve">No ejecutado</x:t>
        </x:is>
      </x:c>
      <x:c r="K8" s="36" t="n"/>
      <x:c r="L8" s="36" t="n"/>
      <x:c r="M8" s="37" t="n"/>
      <x:c r="N8" s="38" t="n"/>
    </x:row>
    <x:row r="9" ht="96" customHeight="1">
      <x:c r="A9" s="12" t="inlineStr">
        <x:is>
          <x:t xml:space="preserve">CON-008</x:t>
        </x:is>
      </x:c>
      <x:c r="B9" s="10" t="inlineStr">
        <x:is>
          <x:t xml:space="preserve">Alta</x:t>
        </x:is>
      </x:c>
      <x:c r="C9" s="36" t="inlineStr">
        <x:is>
          <x:t xml:space="preserve">Contenido</x:t>
        </x:is>
      </x:c>
      <x:c r="D9" s="36" t="inlineStr">
        <x:is>
          <x:t xml:space="preserve">Editar portada y empresa</x:t>
        </x:is>
      </x:c>
      <x:c r="E9" s="36" t="inlineStr">
        <x:is>
          <x:t xml:space="preserve">Panel &gt; Contenido general.</x:t>
        </x:is>
      </x:c>
      <x:c r="F9" s="36" t="inlineStr">
        <x:is>
          <x:t xml:space="preserve">Título: Remates presenciales con confianza y transparencia.
Empresa: Más de 15 años acompañando compradores y vendedores.</x:t>
        </x:is>
      </x:c>
      <x:c r="G9" s="36" t="inlineStr">
        <x:is>
          <x:t xml:space="preserve">1. Cambiar textos.
2. Guardar cambios.
3. Recargar home.</x:t>
        </x:is>
      </x:c>
      <x:c r="H9" s="36" t="inlineStr">
        <x:is>
          <x:t xml:space="preserve">Aparece Cambios guardados y la web muestra los nuevos textos.</x:t>
        </x:is>
      </x:c>
      <x:c r="I9" s="36" t="inlineStr">
        <x:is>
          <x:t xml:space="preserve">Editor no conectado al contenido público.</x:t>
        </x:is>
      </x:c>
      <x:c r="J9" s="36" t="inlineStr">
        <x:is>
          <x:t xml:space="preserve">No ejecutado</x:t>
        </x:is>
      </x:c>
      <x:c r="K9" s="36" t="n"/>
      <x:c r="L9" s="36" t="n"/>
      <x:c r="M9" s="37" t="n"/>
      <x:c r="N9" s="38" t="n"/>
    </x:row>
    <x:row r="10" ht="96" customHeight="1">
      <x:c r="A10" s="12" t="inlineStr">
        <x:is>
          <x:t xml:space="preserve">CON-009</x:t>
        </x:is>
      </x:c>
      <x:c r="B10" s="10" t="inlineStr">
        <x:is>
          <x:t xml:space="preserve">Alta</x:t>
        </x:is>
      </x:c>
      <x:c r="C10" s="36" t="inlineStr">
        <x:is>
          <x:t xml:space="preserve">Contenido</x:t>
        </x:is>
      </x:c>
      <x:c r="D10" s="36" t="inlineStr">
        <x:is>
          <x:t xml:space="preserve">Agregar y editar FAQ</x:t>
        </x:is>
      </x:c>
      <x:c r="E10" s="36" t="inlineStr">
        <x:is>
          <x:t xml:space="preserve">Panel &gt; Contenido general.</x:t>
        </x:is>
      </x:c>
      <x:c r="F10" s="36" t="inlineStr">
        <x:is>
          <x:t xml:space="preserve">Pregunta: ¿Se puede inspeccionar antes?
Respuesta: Sí, coordinando previamente con nuestro equipo.</x:t>
        </x:is>
      </x:c>
      <x:c r="G10" s="36" t="inlineStr">
        <x:is>
          <x:t xml:space="preserve">1. Agregar pregunta.
2. Completar.
3. Guardar.
4. Revisar home.
5. Editar respuesta y guardar.</x:t>
        </x:is>
      </x:c>
      <x:c r="H10" s="36" t="inlineStr">
        <x:is>
          <x:t xml:space="preserve">La FAQ aparece y luego refleja la edición.</x:t>
        </x:is>
      </x:c>
      <x:c r="I10" s="36" t="inlineStr">
        <x:is>
          <x:t xml:space="preserve">Contenido dinámico no persistido.</x:t>
        </x:is>
      </x:c>
      <x:c r="J10" s="36" t="inlineStr">
        <x:is>
          <x:t xml:space="preserve">No ejecutado</x:t>
        </x:is>
      </x:c>
      <x:c r="K10" s="36" t="n"/>
      <x:c r="L10" s="36" t="n"/>
      <x:c r="M10" s="37" t="n"/>
      <x:c r="N10" s="38" t="n"/>
    </x:row>
    <x:row r="11" ht="96" customHeight="1">
      <x:c r="A11" s="12" t="inlineStr">
        <x:is>
          <x:t xml:space="preserve">CON-010</x:t>
        </x:is>
      </x:c>
      <x:c r="B11" s="10" t="inlineStr">
        <x:is>
          <x:t xml:space="preserve">Alta</x:t>
        </x:is>
      </x:c>
      <x:c r="C11" s="36" t="inlineStr">
        <x:is>
          <x:t xml:space="preserve">Contenido</x:t>
        </x:is>
      </x:c>
      <x:c r="D11" s="36" t="inlineStr">
        <x:is>
          <x:t xml:space="preserve">Eliminar FAQ</x:t>
        </x:is>
      </x:c>
      <x:c r="E11" s="36" t="inlineStr">
        <x:is>
          <x:t xml:space="preserve">Crear una FAQ exclusiva para borrar.</x:t>
        </x:is>
      </x:c>
      <x:c r="F11" s="36" t="inlineStr">
        <x:is>
          <x:t xml:space="preserve">Pregunta: BORRAR - pregunta temporal.</x:t>
        </x:is>
      </x:c>
      <x:c r="G11" s="36" t="inlineStr">
        <x:is>
          <x:t xml:space="preserve">1. Eliminar pregunta.
2. Guardar cambios.
3. Revisar home y recargar.</x:t>
        </x:is>
      </x:c>
      <x:c r="H11" s="36" t="inlineStr">
        <x:is>
          <x:t xml:space="preserve">La FAQ desaparece y no vuelve después de recargar.</x:t>
        </x:is>
      </x:c>
      <x:c r="I11" s="36" t="inlineStr">
        <x:is>
          <x:t xml:space="preserve">Borrado no persistente.</x:t>
        </x:is>
      </x:c>
      <x:c r="J11" s="36" t="inlineStr">
        <x:is>
          <x:t xml:space="preserve">No ejecutado</x:t>
        </x:is>
      </x:c>
      <x:c r="K11" s="36" t="n"/>
      <x:c r="L11" s="36" t="n"/>
      <x:c r="M11" s="37" t="n"/>
      <x:c r="N11" s="38" t="n"/>
    </x:row>
    <x:row r="12" ht="96" customHeight="1">
      <x:c r="A12" s="13" t="inlineStr">
        <x:is>
          <x:t xml:space="preserve">CON-011</x:t>
        </x:is>
      </x:c>
      <x:c r="B12" s="11" t="inlineStr">
        <x:is>
          <x:t xml:space="preserve">Media</x:t>
        </x:is>
      </x:c>
      <x:c r="C12" s="7" t="inlineStr">
        <x:is>
          <x:t xml:space="preserve">Mapa</x:t>
        </x:is>
      </x:c>
      <x:c r="D12" s="7" t="inlineStr">
        <x:is>
          <x:t xml:space="preserve">URL embebida inválida</x:t>
        </x:is>
      </x:c>
      <x:c r="E12" s="7" t="inlineStr">
        <x:is>
          <x:t xml:space="preserve">Panel &gt; Contenido general.</x:t>
        </x:is>
      </x:c>
      <x:c r="F12" s="7" t="inlineStr">
        <x:is>
          <x:t xml:space="preserve">URL de Maps: https://example.com</x:t>
        </x:is>
      </x:c>
      <x:c r="G12" s="7" t="inlineStr">
        <x:is>
          <x:t xml:space="preserve">1. Guardar la URL.
2. Revisar la sección del mapa.
3. Restaurar el valor anterior.</x:t>
        </x:is>
      </x:c>
      <x:c r="H12" s="7" t="inlineStr">
        <x:is>
          <x:t xml:space="preserve">Registrar cómo falla el iframe. Idealmente el panel debería validar que sea una URL embebible de Maps.</x:t>
        </x:is>
      </x:c>
      <x:c r="I12" s="7" t="inlineStr">
        <x:is>
          <x:t xml:space="preserve">Contenido externo inseguro o mapa vacío.</x:t>
        </x:is>
      </x:c>
      <x:c r="J12" s="7" t="inlineStr">
        <x:is>
          <x:t xml:space="preserve">No ejecutado</x:t>
        </x:is>
      </x:c>
      <x:c r="K12" s="7" t="n"/>
      <x:c r="L12" s="7" t="n"/>
      <x:c r="M12" s="8" t="n"/>
      <x:c r="N12" s="9" t="n"/>
    </x:row>
  </x:sheetData>
  <x:conditionalFormatting sqref="J2:J1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2"/>
  </x:dataValidations>
  <x:pageMargins left="0.7" right="0.7" top="0.75" bottom="0.75" header="0.3" footer="0.3"/>
  <x:tableParts count="1">
    <x:tablePart xmlns:r="http://schemas.openxmlformats.org/officeDocument/2006/relationships" r:id="R1c7d9d3d009546f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MOB-001</x:t>
        </x:is>
      </x:c>
      <x:c r="B2" s="10" t="inlineStr">
        <x:is>
          <x:t xml:space="preserve">Alta</x:t>
        </x:is>
      </x:c>
      <x:c r="C2" s="36" t="inlineStr">
        <x:is>
          <x:t xml:space="preserve">Responsive</x:t>
        </x:is>
      </x:c>
      <x:c r="D2" s="36" t="inlineStr">
        <x:is>
          <x:t xml:space="preserve">Home en móvil pequeño</x:t>
        </x:is>
      </x:c>
      <x:c r="E2" s="36" t="inlineStr">
        <x:is>
          <x:t xml:space="preserve">Abrir herramientas responsive.</x:t>
        </x:is>
      </x:c>
      <x:c r="F2" s="36" t="inlineStr">
        <x:is>
          <x:t xml:space="preserve">Viewport: 320 × 568; zoom 100%.</x:t>
        </x:is>
      </x:c>
      <x:c r="G2" s="36" t="inlineStr">
        <x:is>
          <x:t xml:space="preserve">1. Recorrer toda la home.
2. Revisar textos, tarjetas, mapa y formulario.</x:t>
        </x:is>
      </x:c>
      <x:c r="H2" s="36" t="inlineStr">
        <x:is>
          <x:t xml:space="preserve">No hay scroll horizontal, contenido cortado ni botones fuera de pantalla.</x:t>
        </x:is>
      </x:c>
      <x:c r="I2" s="36" t="inlineStr">
        <x:is>
          <x:t xml:space="preserve">Uso imposible en equipos pequeños.</x:t>
        </x:is>
      </x:c>
      <x:c r="J2" s="36" t="inlineStr">
        <x:is>
          <x:t xml:space="preserve">No ejecutado</x:t>
        </x:is>
      </x:c>
      <x:c r="K2" s="36" t="n"/>
      <x:c r="L2" s="36" t="n"/>
      <x:c r="M2" s="37" t="n"/>
      <x:c r="N2" s="38" t="n"/>
    </x:row>
    <x:row r="3" ht="96" customHeight="1">
      <x:c r="A3" s="12" t="inlineStr">
        <x:is>
          <x:t xml:space="preserve">MOB-002</x:t>
        </x:is>
      </x:c>
      <x:c r="B3" s="10" t="inlineStr">
        <x:is>
          <x:t xml:space="preserve">Alta</x:t>
        </x:is>
      </x:c>
      <x:c r="C3" s="36" t="inlineStr">
        <x:is>
          <x:t xml:space="preserve">Responsive</x:t>
        </x:is>
      </x:c>
      <x:c r="D3" s="36" t="inlineStr">
        <x:is>
          <x:t xml:space="preserve">Home en móvil estándar</x:t>
        </x:is>
      </x:c>
      <x:c r="E3" s="36" t="inlineStr">
        <x:is>
          <x:t xml:space="preserve">Herramientas responsive abiertas.</x:t>
        </x:is>
      </x:c>
      <x:c r="F3" s="36" t="inlineStr">
        <x:is>
          <x:t xml:space="preserve">Viewport: 390 × 844.</x:t>
        </x:is>
      </x:c>
      <x:c r="G3" s="36" t="inlineStr">
        <x:is>
          <x:t xml:space="preserve">1. Recorrer home.
2. Abrir menú.
3. Navegar a Contacto.</x:t>
        </x:is>
      </x:c>
      <x:c r="H3" s="36" t="inlineStr">
        <x:is>
          <x:t xml:space="preserve">El menú y todas las secciones se ajustan correctamente.</x:t>
        </x:is>
      </x:c>
      <x:c r="I3" s="36" t="inlineStr">
        <x:is>
          <x:t xml:space="preserve">Diseño mobile inconsistente.</x:t>
        </x:is>
      </x:c>
      <x:c r="J3" s="36" t="inlineStr">
        <x:is>
          <x:t xml:space="preserve">No ejecutado</x:t>
        </x:is>
      </x:c>
      <x:c r="K3" s="36" t="n"/>
      <x:c r="L3" s="36" t="n"/>
      <x:c r="M3" s="37" t="n"/>
      <x:c r="N3" s="38" t="n"/>
    </x:row>
    <x:row r="4" ht="96" customHeight="1">
      <x:c r="A4" s="12" t="inlineStr">
        <x:is>
          <x:t xml:space="preserve">MOB-003</x:t>
        </x:is>
      </x:c>
      <x:c r="B4" s="10" t="inlineStr">
        <x:is>
          <x:t xml:space="preserve">Alta</x:t>
        </x:is>
      </x:c>
      <x:c r="C4" s="36" t="inlineStr">
        <x:is>
          <x:t xml:space="preserve">Responsive</x:t>
        </x:is>
      </x:c>
      <x:c r="D4" s="36" t="inlineStr">
        <x:is>
          <x:t xml:space="preserve">Detalle y carrusel en móvil</x:t>
        </x:is>
      </x:c>
      <x:c r="E4" s="36" t="inlineStr">
        <x:is>
          <x:t xml:space="preserve">Detalle con 6 lotes.</x:t>
        </x:is>
      </x:c>
      <x:c r="F4" s="36" t="inlineStr">
        <x:is>
          <x:t xml:space="preserve">Viewport: 375 × 812.</x:t>
        </x:is>
      </x:c>
      <x:c r="G4" s="36" t="inlineStr">
        <x:is>
          <x:t xml:space="preserve">1. Recorrer detalle.
2. Usar ambas flechas.
3. Abrir lightbox.</x:t>
        </x:is>
      </x:c>
      <x:c r="H4" s="36" t="inlineStr">
        <x:is>
          <x:t xml:space="preserve">Se ve una tarjeta por vez; flechas accesibles; imagen ampliada cabe en pantalla.</x:t>
        </x:is>
      </x:c>
      <x:c r="I4" s="36" t="inlineStr">
        <x:is>
          <x:t xml:space="preserve">Carrusel cortado o modal desbordado.</x:t>
        </x:is>
      </x:c>
      <x:c r="J4" s="36" t="inlineStr">
        <x:is>
          <x:t xml:space="preserve">No ejecutado</x:t>
        </x:is>
      </x:c>
      <x:c r="K4" s="36" t="n"/>
      <x:c r="L4" s="36" t="n"/>
      <x:c r="M4" s="37" t="n"/>
      <x:c r="N4" s="38" t="n"/>
    </x:row>
    <x:row r="5" ht="96" customHeight="1">
      <x:c r="A5" s="12" t="inlineStr">
        <x:is>
          <x:t xml:space="preserve">MOB-004</x:t>
        </x:is>
      </x:c>
      <x:c r="B5" s="10" t="inlineStr">
        <x:is>
          <x:t xml:space="preserve">Media</x:t>
        </x:is>
      </x:c>
      <x:c r="C5" s="36" t="inlineStr">
        <x:is>
          <x:t xml:space="preserve">Responsive</x:t>
        </x:is>
      </x:c>
      <x:c r="D5" s="36" t="inlineStr">
        <x:is>
          <x:t xml:space="preserve">Panel administrador en móvil</x:t>
        </x:is>
      </x:c>
      <x:c r="E5" s="36" t="inlineStr">
        <x:is>
          <x:t xml:space="preserve">Sesión activa.</x:t>
        </x:is>
      </x:c>
      <x:c r="F5" s="36" t="inlineStr">
        <x:is>
          <x:t xml:space="preserve">Viewport: 390 × 844.</x:t>
        </x:is>
      </x:c>
      <x:c r="G5" s="36" t="inlineStr">
        <x:is>
          <x:t xml:space="preserve">1. Recorrer Resumen, Remates y editor.
2. Completar campos.
3. Revisar acciones inferiores.</x:t>
        </x:is>
      </x:c>
      <x:c r="H5" s="36" t="inlineStr">
        <x:is>
          <x:t xml:space="preserve">No hay campos inaccesibles; listado y botones pueden utilizarse sin superposición.</x:t>
        </x:is>
      </x:c>
      <x:c r="I5" s="36" t="inlineStr">
        <x:is>
          <x:t xml:space="preserve">Administración imposible desde teléfono.</x:t>
        </x:is>
      </x:c>
      <x:c r="J5" s="36" t="inlineStr">
        <x:is>
          <x:t xml:space="preserve">No ejecutado</x:t>
        </x:is>
      </x:c>
      <x:c r="K5" s="36" t="n"/>
      <x:c r="L5" s="36" t="n"/>
      <x:c r="M5" s="37" t="n"/>
      <x:c r="N5" s="38" t="n"/>
    </x:row>
    <x:row r="6" ht="96" customHeight="1">
      <x:c r="A6" s="12" t="inlineStr">
        <x:is>
          <x:t xml:space="preserve">MOB-005</x:t>
        </x:is>
      </x:c>
      <x:c r="B6" s="10" t="inlineStr">
        <x:is>
          <x:t xml:space="preserve">Alta</x:t>
        </x:is>
      </x:c>
      <x:c r="C6" s="36" t="inlineStr">
        <x:is>
          <x:t xml:space="preserve">Menú</x:t>
        </x:is>
      </x:c>
      <x:c r="D6" s="36" t="inlineStr">
        <x:is>
          <x:t xml:space="preserve">Cerrar menú móvil con Escape</x:t>
        </x:is>
      </x:c>
      <x:c r="E6" s="36" t="inlineStr">
        <x:is>
          <x:t xml:space="preserve">Viewport menor a 900 px.</x:t>
        </x:is>
      </x:c>
      <x:c r="F6" s="36" t="inlineStr">
        <x:is>
          <x:t xml:space="preserve">Tecla Escape.</x:t>
        </x:is>
      </x:c>
      <x:c r="G6" s="36" t="inlineStr">
        <x:is>
          <x:t xml:space="preserve">1. Abrir Menú.
2. Presionar Escape.</x:t>
        </x:is>
      </x:c>
      <x:c r="H6" s="36" t="inlineStr">
        <x:is>
          <x:t xml:space="preserve">El menú se cierra y el botón anuncia Abrir menú.</x:t>
        </x:is>
      </x:c>
      <x:c r="I6" s="36" t="inlineStr">
        <x:is>
          <x:t xml:space="preserve">Menú atrapado.</x:t>
        </x:is>
      </x:c>
      <x:c r="J6" s="36" t="inlineStr">
        <x:is>
          <x:t xml:space="preserve">No ejecutado</x:t>
        </x:is>
      </x:c>
      <x:c r="K6" s="36" t="n"/>
      <x:c r="L6" s="36" t="n"/>
      <x:c r="M6" s="37" t="n"/>
      <x:c r="N6" s="38" t="n"/>
    </x:row>
    <x:row r="7" ht="96" customHeight="1">
      <x:c r="A7" s="12" t="inlineStr">
        <x:is>
          <x:t xml:space="preserve">MOB-006</x:t>
        </x:is>
      </x:c>
      <x:c r="B7" s="10" t="inlineStr">
        <x:is>
          <x:t xml:space="preserve">Media</x:t>
        </x:is>
      </x:c>
      <x:c r="C7" s="36" t="inlineStr">
        <x:is>
          <x:t xml:space="preserve">Menú</x:t>
        </x:is>
      </x:c>
      <x:c r="D7" s="36" t="inlineStr">
        <x:is>
          <x:t xml:space="preserve">Cerrar menú al ampliar ventana</x:t>
        </x:is>
      </x:c>
      <x:c r="E7" s="36" t="inlineStr">
        <x:is>
          <x:t xml:space="preserve">Abrir menú con viewport 800 px.</x:t>
        </x:is>
      </x:c>
      <x:c r="F7" s="36" t="inlineStr">
        <x:is>
          <x:t xml:space="preserve">Cambiar ancho de 800 px a 1024 px.</x:t>
        </x:is>
      </x:c>
      <x:c r="G7" s="36" t="inlineStr">
        <x:is>
          <x:t xml:space="preserve">1. Abrir menú.
2. Ampliar viewport.</x:t>
        </x:is>
      </x:c>
      <x:c r="H7" s="36" t="inlineStr">
        <x:is>
          <x:t xml:space="preserve">El estado móvil se cierra y aparece la navegación de escritorio.</x:t>
        </x:is>
      </x:c>
      <x:c r="I7" s="36" t="inlineStr">
        <x:is>
          <x:t xml:space="preserve">Menú duplicado tras rotación.</x:t>
        </x:is>
      </x:c>
      <x:c r="J7" s="36" t="inlineStr">
        <x:is>
          <x:t xml:space="preserve">No ejecutado</x:t>
        </x:is>
      </x:c>
      <x:c r="K7" s="36" t="n"/>
      <x:c r="L7" s="36" t="n"/>
      <x:c r="M7" s="37" t="n"/>
      <x:c r="N7" s="38" t="n"/>
    </x:row>
    <x:row r="8" ht="96" customHeight="1">
      <x:c r="A8" s="12" t="inlineStr">
        <x:is>
          <x:t xml:space="preserve">ACC-A11Y-003</x:t>
        </x:is>
      </x:c>
      <x:c r="B8" s="10" t="inlineStr">
        <x:is>
          <x:t xml:space="preserve">Media</x:t>
        </x:is>
      </x:c>
      <x:c r="C8" s="36" t="inlineStr">
        <x:is>
          <x:t xml:space="preserve">Zoom</x:t>
        </x:is>
      </x:c>
      <x:c r="D8" s="36" t="inlineStr">
        <x:is>
          <x:t xml:space="preserve">Zoom del navegador al 200%</x:t>
        </x:is>
      </x:c>
      <x:c r="E8" s="36" t="inlineStr">
        <x:is>
          <x:t xml:space="preserve">Home y detalle disponibles.</x:t>
        </x:is>
      </x:c>
      <x:c r="F8" s="36" t="inlineStr">
        <x:is>
          <x:t xml:space="preserve">Zoom: 200%; ventana 1280 px.</x:t>
        </x:is>
      </x:c>
      <x:c r="G8" s="36" t="inlineStr">
        <x:is>
          <x:t xml:space="preserve">1. Recorrer home, detalle y formulario.
2. Abrir menú si aparece.</x:t>
        </x:is>
      </x:c>
      <x:c r="H8" s="36" t="inlineStr">
        <x:is>
          <x:t xml:space="preserve">El contenido sigue legible y utilizable sin solapamientos.</x:t>
        </x:is>
      </x:c>
      <x:c r="I8" s="36" t="inlineStr">
        <x:is>
          <x:t xml:space="preserve">Incumplimiento de reflow.</x:t>
        </x:is>
      </x:c>
      <x:c r="J8" s="36" t="inlineStr">
        <x:is>
          <x:t xml:space="preserve">No ejecutado</x:t>
        </x:is>
      </x:c>
      <x:c r="K8" s="36"/>
      <x:c r="L8" s="36"/>
      <x:c r="M8" s="37"/>
      <x:c r="N8" s="38"/>
    </x:row>
    <x:row r="9" ht="96" customHeight="1">
      <x:c r="A9" s="12" t="inlineStr">
        <x:is>
          <x:t xml:space="preserve">ACC-A11Y-004</x:t>
        </x:is>
      </x:c>
      <x:c r="B9" s="10" t="inlineStr">
        <x:is>
          <x:t xml:space="preserve">Media</x:t>
        </x:is>
      </x:c>
      <x:c r="C9" s="36" t="inlineStr">
        <x:is>
          <x:t xml:space="preserve">Movimiento</x:t>
        </x:is>
      </x:c>
      <x:c r="D9" s="36" t="inlineStr">
        <x:is>
          <x:t xml:space="preserve">Preferencia de movimiento reducido</x:t>
        </x:is>
      </x:c>
      <x:c r="E9" s="36" t="inlineStr">
        <x:is>
          <x:t xml:space="preserve">Sistema o navegador con Reduce motion activado.</x:t>
        </x:is>
      </x:c>
      <x:c r="F9" s="36" t="inlineStr">
        <x:is>
          <x:t xml:space="preserve">prefers-reduced-motion: reduce.</x:t>
        </x:is>
      </x:c>
      <x:c r="G9" s="36" t="inlineStr">
        <x:is>
          <x:t xml:space="preserve">1. Recargar home.
2. Navegar y observar animaciones.</x:t>
        </x:is>
      </x:c>
      <x:c r="H9" s="36" t="inlineStr">
        <x:is>
          <x:t xml:space="preserve">Las animaciones y desplazamientos se reducen o desactivan.</x:t>
        </x:is>
      </x:c>
      <x:c r="I9" s="36" t="inlineStr">
        <x:is>
          <x:t xml:space="preserve">Mareo o incomodidad por movimiento.</x:t>
        </x:is>
      </x:c>
      <x:c r="J9" s="36" t="inlineStr">
        <x:is>
          <x:t xml:space="preserve">No ejecutado</x:t>
        </x:is>
      </x:c>
      <x:c r="K9" s="36"/>
      <x:c r="L9" s="36"/>
      <x:c r="M9" s="37"/>
      <x:c r="N9" s="38"/>
    </x:row>
    <x:row r="10" ht="96" customHeight="1">
      <x:c r="A10" s="12" t="inlineStr">
        <x:is>
          <x:t xml:space="preserve">MOB-011</x:t>
        </x:is>
      </x:c>
      <x:c r="B10" s="10" t="inlineStr">
        <x:is>
          <x:t xml:space="preserve">Alta</x:t>
        </x:is>
      </x:c>
      <x:c r="C10" s="36" t="inlineStr">
        <x:is>
          <x:t xml:space="preserve">Responsive</x:t>
        </x:is>
      </x:c>
      <x:c r="D10" s="36" t="inlineStr">
        <x:is>
          <x:t xml:space="preserve">Alineación en pantalla 2K</x:t>
        </x:is>
      </x:c>
      <x:c r="E10" s="36" t="inlineStr">
        <x:is>
          <x:t xml:space="preserve">Abrir home y panel administrador.</x:t>
        </x:is>
      </x:c>
      <x:c r="F10" s="36" t="inlineStr">
        <x:is>
          <x:t xml:space="preserve">Viewport: 2560 × 1440; zoom 100%.</x:t>
        </x:is>
      </x:c>
      <x:c r="G10" s="36" t="inlineStr">
        <x:is>
          <x:t xml:space="preserve">1. Recorrer la home.
2. Abrir el panel y sus secciones.
3. Comparar márgenes laterales.</x:t>
        </x:is>
      </x:c>
      <x:c r="H10" s="36" t="inlineStr">
        <x:is>
          <x:t xml:space="preserve">El contenido aprovecha el ancho, queda centrado y conserva líneas legibles sin huecos desproporcionados.</x:t>
        </x:is>
      </x:c>
      <x:c r="I10" s="36" t="inlineStr">
        <x:is>
          <x:t xml:space="preserve">Diseño angosto o desalineado en monitores grandes.</x:t>
        </x:is>
      </x:c>
      <x:c r="J10" s="36" t="inlineStr">
        <x:is>
          <x:t xml:space="preserve">No ejecutado</x:t>
        </x:is>
      </x:c>
      <x:c r="K10" s="36"/>
      <x:c r="L10" s="36"/>
      <x:c r="M10" s="37"/>
      <x:c r="N10" s="38"/>
    </x:row>
    <x:row r="11" ht="96" customHeight="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</x:row>
    <x:row r="12" ht="41.400001525878906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</x:row>
  </x:sheetData>
  <x:conditionalFormatting sqref="J2:J1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2"/>
  </x:dataValidations>
  <x:pageMargins left="0.7" right="0.7" top="0.75" bottom="0.75" header="0.3" footer="0.3"/>
  <x:tableParts count="1">
    <x:tablePart xmlns:r="http://schemas.openxmlformats.org/officeDocument/2006/relationships" r:id="Re3f7c1aaad6c407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28.77734375" customWidth="1"/>
    <x:col min="2" max="3" width="48.77734375" customWidth="1"/>
    <x:col min="4" max="4" width="58.77734375" customWidth="1"/>
    <x:col min="5" max="5" width="34.77734375" customWidth="1"/>
  </x:cols>
  <x:sheetData>
    <x:row r="1" ht="36" customHeight="1">
      <x:c r="A1" s="27" t="inlineStr">
        <x:is>
          <x:t xml:space="preserve">Juegos completos de datos para crear remates</x:t>
        </x:is>
      </x:c>
    </x:row>
    <x:row r="3">
      <x:c r="A3" s="17" t="inlineStr">
        <x:is>
          <x:t xml:space="preserve">Campo</x:t>
        </x:is>
      </x:c>
      <x:c r="B3" s="18" t="inlineStr">
        <x:is>
          <x:t xml:space="preserve">Caso base</x:t>
        </x:is>
      </x:c>
      <x:c r="C3" s="18" t="inlineStr">
        <x:is>
          <x:t xml:space="preserve">Segundo caso</x:t>
        </x:is>
      </x:c>
      <x:c r="D3" s="18" t="inlineStr">
        <x:is>
          <x:t xml:space="preserve">Caso extremo</x:t>
        </x:is>
      </x:c>
      <x:c r="E3" s="19" t="inlineStr">
        <x:is>
          <x:t xml:space="preserve">Notas</x:t>
        </x:is>
      </x:c>
    </x:row>
    <x:row r="4" ht="72" customHeight="1">
      <x:c r="A4" s="15" t="inlineStr">
        <x:is>
          <x:t xml:space="preserve">Título</x:t>
        </x:is>
      </x:c>
      <x:c r="B4" s="14" t="inlineStr">
        <x:is>
          <x:t xml:space="preserve">Remate de mobiliario y antigüedades</x:t>
        </x:is>
      </x:c>
      <x:c r="C4" s="14" t="inlineStr">
        <x:is>
          <x:t xml:space="preserve">Remate de vehículos utilitarios</x:t>
        </x:is>
      </x:c>
      <x:c r="D4" s="14" t="inlineStr">
        <x:is>
          <x:t xml:space="preserve">Ómnibus, camiones &amp; maquinaria – edición Nº 2</x:t>
        </x:is>
      </x:c>
      <x:c r="E4" s="16" t="inlineStr">
        <x:is>
          <x:t xml:space="preserve">Obligatorio</x:t>
        </x:is>
      </x:c>
    </x:row>
    <x:row r="5" ht="72" customHeight="1">
      <x:c r="A5" s="15" t="inlineStr">
        <x:is>
          <x:t xml:space="preserve">Ruta o slug</x:t>
        </x:is>
      </x:c>
      <x:c r="B5" s="14" t="inlineStr">
        <x:is>
          <x:t xml:space="preserve">mobiliario-y-antiguedades</x:t>
        </x:is>
      </x:c>
      <x:c r="C5" s="14" t="inlineStr">
        <x:is>
          <x:t xml:space="preserve">vehiculos-utilitarios-agosto</x:t>
        </x:is>
      </x:c>
      <x:c r="D5" s="14" t="inlineStr">
        <x:is>
          <x:t xml:space="preserve">omnibus-camiones-maquinaria-edicion-2</x:t>
        </x:is>
      </x:c>
      <x:c r="E5" s="16" t="inlineStr">
        <x:is>
          <x:t xml:space="preserve">Se genera automáticamente y debe ser única.</x:t>
        </x:is>
      </x:c>
    </x:row>
    <x:row r="6" ht="72" customHeight="1">
      <x:c r="A6" s="15" t="inlineStr">
        <x:is>
          <x:t xml:space="preserve">Fecha y hora completas</x:t>
        </x:is>
      </x:c>
      <x:c r="B6" s="14" t="inlineStr">
        <x:is>
          <x:t xml:space="preserve">15/08/2026 15:00</x:t>
        </x:is>
      </x:c>
      <x:c r="C6" s="14" t="inlineStr">
        <x:is>
          <x:t xml:space="preserve">21/08/2026 18:30</x:t>
        </x:is>
      </x:c>
      <x:c r="D6" s="32" t="n">
        <x:v>46151.37847222222</x:v>
      </x:c>
      <x:c r="E6" s="16" t="inlineStr">
        <x:is>
          <x:t xml:space="preserve">Formato dd/mm/yyyy HH:mm o Fecha a confirmar.</x:t>
        </x:is>
      </x:c>
    </x:row>
    <x:row r="7" ht="72" customHeight="1">
      <x:c r="A7" s="15" t="inlineStr">
        <x:is>
          <x:t xml:space="preserve">Subtítulo</x:t>
        </x:is>
      </x:c>
      <x:c r="B7" s="14" t="inlineStr">
        <x:is>
          <x:t xml:space="preserve">Muebles, objetos decorativos y piezas seleccionadas</x:t>
        </x:is>
      </x:c>
      <x:c r="C7" s="14" t="inlineStr">
        <x:is>
          <x:t xml:space="preserve">Flota urbana y unidades de trabajo</x:t>
        </x:is>
      </x:c>
      <x:c r="D7" s="14" t="inlineStr">
        <x:is>
          <x:t xml:space="preserve">Liquidación especial con más de 120 lotes seleccionados</x:t>
        </x:is>
      </x:c>
      <x:c r="E7" s="16" t="inlineStr">
        <x:is>
          <x:t xml:space="preserve">Obligatorio</x:t>
        </x:is>
      </x:c>
    </x:row>
    <x:row r="8" ht="72" customHeight="1">
      <x:c r="A8" s="15" t="inlineStr">
        <x:is>
          <x:t xml:space="preserve">Lugar resumido</x:t>
        </x:is>
      </x:c>
      <x:c r="B8" s="14" t="inlineStr">
        <x:is>
          <x:t xml:space="preserve">Salón Zunino · Montevideo</x:t>
        </x:is>
      </x:c>
      <x:c r="C8" s="14" t="inlineStr">
        <x:is>
          <x:t xml:space="preserve">Predio Central · Canelones</x:t>
        </x:is>
      </x:c>
      <x:c r="D8" s="14" t="inlineStr">
        <x:is>
          <x:t xml:space="preserve">Predio Norte · Ruta 5 Km 28</x:t>
        </x:is>
      </x:c>
      <x:c r="E8" s="16" t="inlineStr">
        <x:is>
          <x:t xml:space="preserve">Obligatorio</x:t>
        </x:is>
      </x:c>
    </x:row>
    <x:row r="9" ht="72" customHeight="1">
      <x:c r="A9" s="15" t="inlineStr">
        <x:is>
          <x:t xml:space="preserve">Estado visible del catálogo</x:t>
        </x:is>
      </x:c>
      <x:c r="B9" s="14" t="inlineStr">
        <x:is>
          <x:t xml:space="preserve">Próximamente</x:t>
        </x:is>
      </x:c>
      <x:c r="C9" s="14" t="inlineStr">
        <x:is>
          <x:t xml:space="preserve">Disponible</x:t>
        </x:is>
      </x:c>
      <x:c r="D9" s="14" t="inlineStr">
        <x:is>
          <x:t xml:space="preserve">Preliminar</x:t>
        </x:is>
      </x:c>
      <x:c r="E9" s="16" t="inlineStr">
        <x:is>
          <x:t xml:space="preserve">Elegir en la lista</x:t>
        </x:is>
      </x:c>
    </x:row>
    <x:row r="10" ht="72" customHeight="1">
      <x:c r="A10" s="15" t="inlineStr">
        <x:is>
          <x:t xml:space="preserve">Ubicación detallada</x:t>
        </x:is>
      </x:c>
      <x:c r="B10" s="14" t="inlineStr">
        <x:is>
          <x:t xml:space="preserve">Salón Zunino, Av. 18 de Julio 1234, Montevideo. Exposición desde las 13:00.</x:t>
        </x:is>
      </x:c>
      <x:c r="C10" s="14" t="inlineStr">
        <x:is>
          <x:t xml:space="preserve">Predio Central, Camino Los Aromos 2450, Canelones. Visitas coordinadas.</x:t>
        </x:is>
      </x:c>
      <x:c r="D10" s="14" t="inlineStr">
        <x:is>
          <x:t xml:space="preserve">Predio Norte, Ruta 5 Km 28. Ingreso de vehículos pesados por portón lateral.</x:t>
        </x:is>
      </x:c>
      <x:c r="E10" s="16" t="inlineStr">
        <x:is>
          <x:t xml:space="preserve">Obligatorio</x:t>
        </x:is>
      </x:c>
    </x:row>
    <x:row r="11" ht="72" customHeight="1">
      <x:c r="A11" s="15" t="inlineStr">
        <x:is>
          <x:t xml:space="preserve">Descripción breve</x:t>
        </x:is>
      </x:c>
      <x:c r="B11" s="14" t="inlineStr">
        <x:is>
          <x:t xml:space="preserve">Muebles antiguos, cuadros y piezas seleccionadas para el hogar.</x:t>
        </x:is>
      </x:c>
      <x:c r="C11" s="14" t="inlineStr">
        <x:is>
          <x:t xml:space="preserve">Pickups, furgones y unidades de trabajo con inspección previa.</x:t>
        </x:is>
      </x:c>
      <x:c r="D11" s="14" t="inlineStr">
        <x:is>
          <x:t xml:space="preserve">Camiones, ómnibus, herramientas y maquinaria de distintos rubros.</x:t>
        </x:is>
      </x:c>
      <x:c r="E11" s="16" t="inlineStr">
        <x:is>
          <x:t xml:space="preserve">Visible en la tarjeta</x:t>
        </x:is>
      </x:c>
    </x:row>
    <x:row r="12" ht="72" customHeight="1">
      <x:c r="A12" s="15" t="inlineStr">
        <x:is>
          <x:t xml:space="preserve">Descripción completa</x:t>
        </x:is>
      </x:c>
      <x:c r="B12" s="14" t="inlineStr">
        <x:is>
          <x:t xml:space="preserve">Remate presencial de mobiliario, antigüedades y objetos decorativos. La exposición estará disponible antes del comienzo para revisar cada pieza.</x:t>
        </x:is>
      </x:c>
      <x:c r="C12" s="14" t="inlineStr">
        <x:is>
          <x:t xml:space="preserve">Remate presencial de vehículos utilitarios seleccionados. Cada unidad podrá inspeccionarse antes del evento con coordinación previa.</x:t>
        </x:is>
      </x:c>
      <x:c r="D12" s="14" t="inlineStr">
        <x:is>
          <x:t xml:space="preserve">Jornada especial con más de 120 lotes. Incluye vehículos, equipos y herramientas. Los datos contienen tildes, símbolos, porcentajes 12,5% y referencias Nº 1 al Nº 120 para probar textos extensos.</x:t>
        </x:is>
      </x:c>
      <x:c r="E12" s="16" t="inlineStr">
        <x:is>
          <x:t xml:space="preserve">Visible en el detalle</x:t>
        </x:is>
      </x:c>
    </x:row>
    <x:row r="13" ht="72" customHeight="1">
      <x:c r="A13" s="15" t="inlineStr">
        <x:is>
          <x:t xml:space="preserve">Texto sobre el catálogo</x:t>
        </x:is>
      </x:c>
      <x:c r="B13" s="14" t="inlineStr">
        <x:is>
          <x:t xml:space="preserve">El catálogo todavía está en preparación y será publicado próximamente.</x:t>
        </x:is>
      </x:c>
      <x:c r="C13" s="14" t="inlineStr">
        <x:is>
          <x:t xml:space="preserve">Catálogo completo disponible con fotografías y condiciones por unidad.</x:t>
        </x:is>
      </x:c>
      <x:c r="D13" s="14" t="inlineStr">
        <x:is>
          <x:t xml:space="preserve">Catálogo preliminar sujeto a incorporación o retiro de lotes antes del evento.</x:t>
        </x:is>
      </x:c>
      <x:c r="E13" s="16" t="inlineStr">
        <x:is>
          <x:t xml:space="preserve">Obligatorio para informar el estado del catálogo.</x:t>
        </x:is>
      </x:c>
    </x:row>
    <x:row r="14" ht="72" customHeight="1">
      <x:c r="A14" s="15" t="inlineStr">
        <x:is>
          <x:t xml:space="preserve">Requisitos</x:t>
        </x:is>
      </x:c>
      <x:c r="B14" s="14" t="inlineStr">
        <x:is>
          <x:t xml:space="preserve">Presentar documento de identidad vigente
Registrarse antes del inicio
Proporcionar datos de contacto</x:t>
        </x:is>
      </x:c>
      <x:c r="C14" s="14" t="inlineStr">
        <x:is>
          <x:t xml:space="preserve">Documento vigente
Datos de facturación
Lectura previa de condiciones</x:t>
        </x:is>
      </x:c>
      <x:c r="D14" s="14" t="inlineStr">
        <x:is>
          <x:t xml:space="preserve">Documento vigente
Registro presencial
Aceptación de comisión
Coordinación para retiro de equipos grandes</x:t>
        </x:is>
      </x:c>
      <x:c r="E14" s="16" t="inlineStr">
        <x:is>
          <x:t xml:space="preserve">Uno por línea; al menos uno</x:t>
        </x:is>
      </x:c>
    </x:row>
    <x:row r="15" ht="72" customHeight="1">
      <x:c r="A15" s="15" t="inlineStr">
        <x:is>
          <x:t xml:space="preserve">Condiciones</x:t>
        </x:is>
      </x:c>
      <x:c r="B15" s="14" t="inlineStr">
        <x:is>
          <x:t xml:space="preserve">Venta en el estado en que se encuentra
Pago dentro de 48 horas
Retiro a cargo del comprador</x:t>
        </x:is>
      </x:c>
      <x:c r="C15" s="14" t="inlineStr">
        <x:is>
          <x:t xml:space="preserve">Inspección previa recomendada
Pago según condiciones publicadas
Entrega al confirmar documentación</x:t>
        </x:is>
      </x:c>
      <x:c r="D15" s="14" t="inlineStr">
        <x:is>
          <x:t xml:space="preserve">Comisión 12,5%
Pago dentro de 24 horas
Retiro coordinado por franjas
Equipos pesados requieren transporte habilitado</x:t>
        </x:is>
      </x:c>
      <x:c r="E15" s="16" t="inlineStr">
        <x:is>
          <x:t xml:space="preserve">Una por línea; al menos una</x:t>
        </x:is>
      </x:c>
    </x:row>
    <x:row r="16" ht="72" customHeight="1">
      <x:c r="A16" s="15" t="inlineStr">
        <x:is>
          <x:t xml:space="preserve">Lote 1</x:t>
        </x:is>
      </x:c>
      <x:c r="B16" s="14" t="inlineStr">
        <x:is>
          <x:t xml:space="preserve">Aparador antiguo de roble | https://images.unsplash.com/photo-1618221195710-dd6b41faaea6 | Aparador antiguo de roble</x:t>
        </x:is>
      </x:c>
      <x:c r="C16" s="14" t="inlineStr">
        <x:is>
          <x:t xml:space="preserve">Pickup mediana | https://images.unsplash.com/photo-1494976388531-d1058494cdd8 | Pickup mediana de trabajo</x:t>
        </x:is>
      </x:c>
      <x:c r="D16" s="14" t="inlineStr">
        <x:is>
          <x:t xml:space="preserve">Camión liviano Nº 1 | https://images.unsplash.com/photo-1601584115197-04ecc0da31d7 | Camión liviano blanco</x:t>
        </x:is>
      </x:c>
      <x:c r="E16" s="16" t="inlineStr">
        <x:is>
          <x:t xml:space="preserve">Formato: nombre | URL | texto alternativo</x:t>
        </x:is>
      </x:c>
    </x:row>
    <x:row r="17" ht="72" customHeight="1">
      <x:c r="A17" s="15" t="inlineStr">
        <x:is>
          <x:t xml:space="preserve">Lote 2</x:t>
        </x:is>
      </x:c>
      <x:c r="B17" s="14" t="inlineStr">
        <x:is>
          <x:t xml:space="preserve">Juego de sillones clásicos | https://images.unsplash.com/photo-1555041469-a586c61ea9bc | Juego de sillones tapizados</x:t>
        </x:is>
      </x:c>
      <x:c r="C17" s="14" t="inlineStr">
        <x:is>
          <x:t xml:space="preserve">Furgón urbano | https://images.unsplash.com/photo-1533473359331-0135ef1b58bf | Furgón urbano de reparto</x:t>
        </x:is>
      </x:c>
      <x:c r="D17" s="14" t="inlineStr">
        <x:is>
          <x:t xml:space="preserve">Ómnibus urbano Nº 2 | https://images.unsplash.com/photo-1570125909232-eb263c188f7e | Ómnibus urbano</x:t>
        </x:is>
      </x:c>
      <x:c r="E17" s="16" t="n"/>
    </x:row>
    <x:row r="18" ht="72" customHeight="1">
      <x:c r="A18" s="15" t="inlineStr">
        <x:is>
          <x:t xml:space="preserve">Lote 3</x:t>
        </x:is>
      </x:c>
      <x:c r="B18" s="14" t="inlineStr">
        <x:is>
          <x:t xml:space="preserve">Mesa con seis sillas | https://images.unsplash.com/photo-1617806118233-18e1de247200 | Mesa de madera con seis sillas</x:t>
        </x:is>
      </x:c>
      <x:c r="C18" s="14" t="inlineStr">
        <x:is>
          <x:t xml:space="preserve">Unidad comercial | https://images.unsplash.com/photo-1503376780353-7e6692767b70 | Vehículo comercial</x:t>
        </x:is>
      </x:c>
      <x:c r="D18" s="14" t="inlineStr">
        <x:is>
          <x:t xml:space="preserve">Compresor industrial Nº 3 | /media/remates/maquinaria-lote-01.svg | Compresor industrial</x:t>
        </x:is>
      </x:c>
      <x:c r="E18" s="16" t="n"/>
    </x:row>
    <x:row r="19" ht="72" customHeight="1">
      <x:c r="A19" s="15" t="inlineStr">
        <x:is>
          <x:t xml:space="preserve">Lote 4</x:t>
        </x:is>
      </x:c>
      <x:c r="B19" s="14" t="n"/>
      <x:c r="C19" s="14" t="n"/>
      <x:c r="D19" s="14" t="inlineStr">
        <x:is>
          <x:t xml:space="preserve">Torno con accesorios Nº 4 | /media/remates/maquinaria-lote-02.svg | Torno con banco y accesorios</x:t>
        </x:is>
      </x:c>
      <x:c r="E19" s="16" t="inlineStr">
        <x:is>
          <x:t xml:space="preserve">Usar para probar carrusel</x:t>
        </x:is>
      </x:c>
    </x:row>
    <x:row r="20" ht="72" customHeight="1">
      <x:c r="A20" s="15" t="inlineStr">
        <x:is>
          <x:t xml:space="preserve">Lote 5</x:t>
        </x:is>
      </x:c>
      <x:c r="B20" s="14" t="n"/>
      <x:c r="C20" s="14" t="n"/>
      <x:c r="D20" s="14" t="inlineStr">
        <x:is>
          <x:t xml:space="preserve">Herramientas pesadas Nº 5 | /media/remates/maquinaria-principal.svg | Lote de herramientas pesadas</x:t>
        </x:is>
      </x:c>
      <x:c r="E20" s="16" t="inlineStr">
        <x:is>
          <x:t xml:space="preserve">Usar para probar carrusel</x:t>
        </x:is>
      </x:c>
    </x:row>
    <x:row r="21" ht="72" customHeight="1">
      <x:c r="A21" s="20" t="inlineStr">
        <x:is>
          <x:t xml:space="preserve">Lote 6</x:t>
        </x:is>
      </x:c>
      <x:c r="B21" s="21" t="n"/>
      <x:c r="C21" s="21" t="n"/>
      <x:c r="D21" s="21" t="inlineStr">
        <x:is>
          <x:t xml:space="preserve">Imagen rota Nº 6 | https://ejemplo.invalid/no-existe.jpg | Lote con imagen no disponible</x:t>
        </x:is>
      </x:c>
      <x:c r="E21" s="22" t="inlineStr">
        <x:is>
          <x:t xml:space="preserve">Caso de riesgo intencional</x:t>
        </x:is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914b72c790094a5d"/>
  </x:tableParts>
</x:worksheet>
</file>
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cte\Documents\Playground\Zunino Remates Web\docs\qa\"/>
    </mc:Choice>
  </mc:AlternateContent>
  <xr:revisionPtr revIDLastSave="0" documentId="13_ncr:1_{F85ACA00-A25D-4B0D-9ACE-E5E9AA35E395}" xr6:coauthVersionLast="47" xr6:coauthVersionMax="47" xr10:uidLastSave="{00000000-0000-0000-0000-000000000000}"/>
  <bookViews>
    <workbookView xWindow="-23040" yWindow="528" windowWidth="23040" windowHeight="12120" firstSheet="3" activeTab="7" xr2:uid="{5F4DA3E4-6D82-45E2-A3BC-C01FCFBADEF2}"/>
  </bookViews>
  <sheets>
    <sheet name="Guía y resumen" sheetId="1" r:id="rId1"/>
    <sheet name="Acceso y sesión" sheetId="2" r:id="rId2"/>
    <sheet name="Gestión de remates" sheetId="3" r:id="rId3"/>
    <sheet name="Catálogo y lotes" sheetId="4" r:id="rId4"/>
    <sheet name="Web pública" sheetId="5" r:id="rId5"/>
    <sheet name="Contenido y contacto" sheetId="6" r:id="rId6"/>
    <sheet name="Mobile y accesibilidad" sheetId="7" r:id="rId7"/>
    <sheet name="Datos de prueba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1" i="1" l="1"/>
  <c r="E20" i="1"/>
  <c r="E19" i="1"/>
  <c r="E18" i="1"/>
  <c r="E17" i="1"/>
  <c r="E14" i="1"/>
  <c r="E13" i="1"/>
  <c r="E12" i="1"/>
  <c r="E11" i="1"/>
</calcChain>
</file>

<file path=xl/sharedStrings.xml><?xml version="1.0" encoding="utf-8"?>
<sst xmlns="http://schemas.openxmlformats.org/spreadsheetml/2006/main" count="909" uniqueCount="643">
  <si>
    <t>ID</t>
  </si>
  <si>
    <t>Prioridad</t>
  </si>
  <si>
    <t>Tipo</t>
  </si>
  <si>
    <t>Caso de prueba</t>
  </si>
  <si>
    <t>Precondiciones</t>
  </si>
  <si>
    <t>Datos para usar</t>
  </si>
  <si>
    <t>Pasos</t>
  </si>
  <si>
    <t>Resultado esperado</t>
  </si>
  <si>
    <t>Riesgo cubierto</t>
  </si>
  <si>
    <t>Estado</t>
  </si>
  <si>
    <t>Resultado real</t>
  </si>
  <si>
    <t>Comentarios</t>
  </si>
  <si>
    <t>Fecha</t>
  </si>
  <si>
    <t>Probado por</t>
  </si>
  <si>
    <t>ACC-001</t>
  </si>
  <si>
    <t>Alta</t>
  </si>
  <si>
    <t>Positivo</t>
  </si>
  <si>
    <t>Ingreso con credenciales válidas</t>
  </si>
  <si>
    <t>Abrir /admin12345 sin sesión activa.</t>
  </si>
  <si>
    <t>Usuario: admin_zunino
Contraseña: Zunino#Admin_7304!</t>
  </si>
  <si>
    <t>1. Completar usuario y contraseña.
2. Presionar Ingresar.</t>
  </si>
  <si>
    <t>Se abre el Panel administrador y la sesión queda activa.</t>
  </si>
  <si>
    <t>Bloqueo de acceso válido o credenciales que no funcionan.</t>
  </si>
  <si>
    <t>No ejecutado</t>
  </si>
  <si>
    <t>ACC-002</t>
  </si>
  <si>
    <t>Negativo</t>
  </si>
  <si>
    <t>Usuario incorrecto</t>
  </si>
  <si>
    <t>Cerrar sesión antes de comenzar.</t>
  </si>
  <si>
    <t>Usuario: administrador
Contraseña: Zunino#Admin_7304!</t>
  </si>
  <si>
    <t>1. Ingresar los datos.
2. Presionar Ingresar.</t>
  </si>
  <si>
    <t>No permite acceder y muestra un mensaje de usuario o contraseña incorrectos.</t>
  </si>
  <si>
    <t>Acceso no autorizado.</t>
  </si>
  <si>
    <t>ACC-003</t>
  </si>
  <si>
    <t>Contraseña incorrecta</t>
  </si>
  <si>
    <t>Usuario: admin_zunino
Contraseña: Zunino123</t>
  </si>
  <si>
    <t>No permite acceder y no revela cuál de los dos datos es incorrecto.</t>
  </si>
  <si>
    <t>Filtración de información de autenticación.</t>
  </si>
  <si>
    <t>ACC-004</t>
  </si>
  <si>
    <t>Media</t>
  </si>
  <si>
    <t>Extremo</t>
  </si>
  <si>
    <t>Campos de acceso vacíos</t>
  </si>
  <si>
    <t>Pantalla de acceso abierta.</t>
  </si>
  <si>
    <t>Usuario: vacío
Contraseña: vacía</t>
  </si>
  <si>
    <t>1. No completar nada.
2. Presionar Ingresar.</t>
  </si>
  <si>
    <t>El navegador señala los campos obligatorios y no envía el formulario.</t>
  </si>
  <si>
    <t>Ingreso accidental o mensaje confuso.</t>
  </si>
  <si>
    <t>ACC-005</t>
  </si>
  <si>
    <t>Persistencia</t>
  </si>
  <si>
    <t>Recarga con sesión activa</t>
  </si>
  <si>
    <t>Ingresar correctamente al panel.</t>
  </si>
  <si>
    <t>Sin datos adicionales.</t>
  </si>
  <si>
    <t>1. Recargar la pestaña con F5.
2. Revisar la pantalla mostrada.</t>
  </si>
  <si>
    <t>El panel permanece abierto durante la misma sesión del navegador.</t>
  </si>
  <si>
    <t>Pérdida inesperada de trabajo por recarga.</t>
  </si>
  <si>
    <t>ACC-006</t>
  </si>
  <si>
    <t>Seguridad</t>
  </si>
  <si>
    <t>Cerrar sesión</t>
  </si>
  <si>
    <t>Tener una sesión administrativa activa.</t>
  </si>
  <si>
    <t>1. Presionar Cerrar sesión.
2. Recargar /admin12345.</t>
  </si>
  <si>
    <t>Vuelve al inicio de sesión y la recarga no restaura el acceso.</t>
  </si>
  <si>
    <t>Sesión administrativa expuesta.</t>
  </si>
  <si>
    <t>ACC-007</t>
  </si>
  <si>
    <t>Navegación</t>
  </si>
  <si>
    <t>Abrir el sitio público desde el panel</t>
  </si>
  <si>
    <t>Sesión administrativa activa.</t>
  </si>
  <si>
    <t>Botón: Ver sitio público.</t>
  </si>
  <si>
    <t>1. Presionar Ver sitio público.
2. Revisar dónde se abre.</t>
  </si>
  <si>
    <t>La web pública se abre en otra pestaña y el panel conserva su estado.</t>
  </si>
  <si>
    <t>Pérdida de cambios o navegación inesperada.</t>
  </si>
  <si>
    <t>REM-001</t>
  </si>
  <si>
    <t>Guardar remate incompleto como borrador</t>
  </si>
  <si>
    <t>Panel &gt; Remates &gt; Agregar remate.</t>
  </si>
  <si>
    <t>Título: Borrador de prueba
Resto de campos: vacíos.</t>
  </si>
  <si>
    <t>1. Escribir el título.
2. Presionar Guardar borrador.
3. Volver al listado.</t>
  </si>
  <si>
    <t>Se guarda con estado Borrador sin exigir los campos de publicación.</t>
  </si>
  <si>
    <t>Imposibilidad de trabajar progresivamente.</t>
  </si>
  <si>
    <t>REM-002</t>
  </si>
  <si>
    <t>Enviar carga incompleta a revisión</t>
  </si>
  <si>
    <t>Editar un borrador incompleto.</t>
  </si>
  <si>
    <t>Título: Remate rural pendiente
Descripción breve: Falta confirmar fecha y lugar.</t>
  </si>
  <si>
    <t>1. Completar solo esos datos.
2. Presionar Enviar a revisión.
3. Ir a Resumen.</t>
  </si>
  <si>
    <t>El remate queda En revisión y aparece en Remates para verificar.</t>
  </si>
  <si>
    <t>Precargas incompletas que se pierden.</t>
  </si>
  <si>
    <t>REM-003</t>
  </si>
  <si>
    <t>Bloquear publicación sin obligatorios</t>
  </si>
  <si>
    <t>Editar un remate incompleto.</t>
  </si>
  <si>
    <t>Fecha, lugar, descripciones, requisitos y condiciones vacíos.</t>
  </si>
  <si>
    <t>1. Presionar Publicar remate.
2. Revisar todos los mensajes.</t>
  </si>
  <si>
    <t>No publica y señala cada dato obligatorio faltante.</t>
  </si>
  <si>
    <t>Publicación de eventos incompletos.</t>
  </si>
  <si>
    <t>REM-004</t>
  </si>
  <si>
    <t>Crear un remate nuevo.</t>
  </si>
  <si>
    <t>REM-005</t>
  </si>
  <si>
    <t>Derivación</t>
  </si>
  <si>
    <t>Generar fecha resumida automáticamente</t>
  </si>
  <si>
    <t>Crear o editar un remate.</t>
  </si>
  <si>
    <t>1. Guardar/publicar.
2. Revisar la tabla del panel y la tarjeta pública.</t>
  </si>
  <si>
    <t>La fecha corta aparece como 15 AGO · 15:00 sin haberla cargado por separado.</t>
  </si>
  <si>
    <t>Datos duplicados o fecha pública inconsistente.</t>
  </si>
  <si>
    <t>REM-006</t>
  </si>
  <si>
    <t>Fecha con un dígito y setiembre</t>
  </si>
  <si>
    <t>Crear un remate publicable.</t>
  </si>
  <si>
    <t>Fecha completa: Viernes 5 de setiembre · 09:05 · Predio Norte</t>
  </si>
  <si>
    <t>1. Guardar.
2. Revisar la fecha resumida.</t>
  </si>
  <si>
    <t>Se muestra 05 SEP · 09:05.</t>
  </si>
  <si>
    <t>Formato incorrecto en días o variante setiembre.</t>
  </si>
  <si>
    <t>REM-007</t>
  </si>
  <si>
    <t>Riesgo</t>
  </si>
  <si>
    <t>Fecha con formato no reconocido</t>
  </si>
  <si>
    <t>Crear un borrador.</t>
  </si>
  <si>
    <t>Fecha completa: Fecha a confirmar durante octubre</t>
  </si>
  <si>
    <t>1. Guardar borrador.
2. Revisar el listado.</t>
  </si>
  <si>
    <t>No se rompe la interfaz; se conserva el texto. Registrar si la presentación resulta aceptable.</t>
  </si>
  <si>
    <t>Entrada libre difícil de convertir.</t>
  </si>
  <si>
    <t>REM-008</t>
  </si>
  <si>
    <t>Generación automática del slug</t>
  </si>
  <si>
    <t>Crear un remate nuevo con slug inicialmente vacío.</t>
  </si>
  <si>
    <t>Título: Remate de vehículos y camiones 2027</t>
  </si>
  <si>
    <t>1. Escribir el título.
2. Revisar Ruta o slug.</t>
  </si>
  <si>
    <t>Se genera remate-de-vehiculos-y-camiones-2027.</t>
  </si>
  <si>
    <t>URL inválida o dependiente de tildes.</t>
  </si>
  <si>
    <t>REM-009</t>
  </si>
  <si>
    <t>Slug duplicado</t>
  </si>
  <si>
    <t>Debe existir un remate con slug mobiliario-y-antiguedades.</t>
  </si>
  <si>
    <t>Nuevo remate con el mismo slug: mobiliario-y-antiguedades.</t>
  </si>
  <si>
    <t>1. Crear y completar el segundo remate.
2. Intentar publicarlo.
3. Abrir la URL.</t>
  </si>
  <si>
    <t>El sistema debería impedir duplicados. Si permite publicar, marcar Falló y comentar qué remate abre.</t>
  </si>
  <si>
    <t>Dos remates compitiendo por la misma URL.</t>
  </si>
  <si>
    <t>REM-010</t>
  </si>
  <si>
    <t>Edición</t>
  </si>
  <si>
    <t>Editar un remate publicado</t>
  </si>
  <si>
    <t>Tener un remate publicado.</t>
  </si>
  <si>
    <t>Cambiar lugar a: Nuevo Salón · Av. Italia 2450
Cambiar descripción breve a: Ubicación actualizada.</t>
  </si>
  <si>
    <t>1. Editar.
2. Publicar nuevamente.
3. Revisar tarjeta y detalle.</t>
  </si>
  <si>
    <t>Los cambios aparecen en el panel y en la web pública después de guardar.</t>
  </si>
  <si>
    <t>Contenido desactualizado.</t>
  </si>
  <si>
    <t>REM-011</t>
  </si>
  <si>
    <t>Finalizar un remate publicado</t>
  </si>
  <si>
    <t>Tener un remate publicado visible en la web.</t>
  </si>
  <si>
    <t>Usar botón Finalizar.</t>
  </si>
  <si>
    <t>1. Presionar Finalizar en el listado.
2. Recargar la home.
3. Intentar abrir su URL.</t>
  </si>
  <si>
    <t>Deja de aparecer públicamente y su detalle muestra remate no encontrado.</t>
  </si>
  <si>
    <t>Eventos finalizados todavía promocionados.</t>
  </si>
  <si>
    <t>REM-012</t>
  </si>
  <si>
    <t>Eliminación</t>
  </si>
  <si>
    <t>Cancelar eliminación</t>
  </si>
  <si>
    <t>Tener un borrador prescindible.</t>
  </si>
  <si>
    <t>Borrador: NO BORRAR - prueba cancelar.</t>
  </si>
  <si>
    <t>1. Presionar Eliminar.
2. Elegir Cancelar.</t>
  </si>
  <si>
    <t>El remate permanece en el listado sin cambios.</t>
  </si>
  <si>
    <t>Borrado accidental.</t>
  </si>
  <si>
    <t>REM-013</t>
  </si>
  <si>
    <t>Confirmar eliminación</t>
  </si>
  <si>
    <t>Crear un borrador exclusivo para esta prueba.</t>
  </si>
  <si>
    <t>Título: BORRAR - caso REM-013.</t>
  </si>
  <si>
    <t>1. Presionar Eliminar.
2. Confirmar.
3. Recargar.</t>
  </si>
  <si>
    <t>Desaparece del listado y no vuelve tras recargar.</t>
  </si>
  <si>
    <t>Registros eliminados que reaparecen.</t>
  </si>
  <si>
    <t>REM-014</t>
  </si>
  <si>
    <t>Conservar datos al recargar</t>
  </si>
  <si>
    <t>Guardar un borrador nuevo.</t>
  </si>
  <si>
    <t>Título: Persistencia F5
Lugar: Salón persistente.</t>
  </si>
  <si>
    <t>1. Guardar borrador.
2. Recargar con F5.
3. Volver a Remates.</t>
  </si>
  <si>
    <t>El borrador y sus datos siguen disponibles en el mismo navegador.</t>
  </si>
  <si>
    <t>Pérdida de datos por localStorage.</t>
  </si>
  <si>
    <t>REM-015</t>
  </si>
  <si>
    <t>Ayuda</t>
  </si>
  <si>
    <t>Ayudas de los campos con mouse</t>
  </si>
  <si>
    <t>Abrir el creador de remate en escritorio.</t>
  </si>
  <si>
    <t>Posarse sobre ?: Título, Fecha y hora completas, Estado del catálogo y Condiciones.</t>
  </si>
  <si>
    <t>1. Pasar el mouse por cada ícono.
2. Leer el texto.
3. Mover el mouse fuera.</t>
  </si>
  <si>
    <t>Cada ayuda aparece, corresponde al campo y desaparece sin tapar el input de forma permanente.</t>
  </si>
  <si>
    <t>Carga incorrecta por falta de contexto.</t>
  </si>
  <si>
    <t>REM-016</t>
  </si>
  <si>
    <t>Ayudas de los campos con teclado</t>
  </si>
  <si>
    <t>Abrir el creador de remate.</t>
  </si>
  <si>
    <t>Usar Tab y Shift+Tab.</t>
  </si>
  <si>
    <t>1. Navegar hasta varios íconos ?.
2. Verificar la ayuda enfocada.
3. Continuar con Tab.</t>
  </si>
  <si>
    <t>La explicación aparece al enfocar y el foco es visible.</t>
  </si>
  <si>
    <t>Ayudas inaccesibles sin mouse.</t>
  </si>
  <si>
    <t>REM-017</t>
  </si>
  <si>
    <t>Textos con tildes y caracteres especiales</t>
  </si>
  <si>
    <t>Título: Ómnibus, camiones &amp; maquinaria – edición Nº 2
Descripción: Piezas únicas; comisión 12,5%.</t>
  </si>
  <si>
    <t>1. Guardar.
2. Revisar panel, tarjeta y detalle.</t>
  </si>
  <si>
    <t>Los caracteres se conservan correctamente, sin símbolos de reemplazo.</t>
  </si>
  <si>
    <t>Corrupción UTF-8.</t>
  </si>
  <si>
    <t>REM-018</t>
  </si>
  <si>
    <t>Recuperación</t>
  </si>
  <si>
    <t>Restablecer datos de demostración</t>
  </si>
  <si>
    <t>Crear primero un borrador identificable.</t>
  </si>
  <si>
    <t>Título: Se eliminará al restablecer.</t>
  </si>
  <si>
    <t>1. Presionar Restablecer datos.
2. Cancelar y verificar que sigue.
3. Repetir y confirmar.</t>
  </si>
  <si>
    <t>Cancelar no cambia nada. Confirmar restaura los datos iniciales y elimina cambios locales.</t>
  </si>
  <si>
    <t>Restablecimiento accidental o incompleto.</t>
  </si>
  <si>
    <t>Archivo</t>
  </si>
  <si>
    <t>CAT-006</t>
  </si>
  <si>
    <t>Lotes</t>
  </si>
  <si>
    <t>Publicar sin lotes destacados</t>
  </si>
  <si>
    <t>Crear un remate completo.</t>
  </si>
  <si>
    <t>Lotes destacados: ninguno.</t>
  </si>
  <si>
    <t>1. Publicar.
2. Abrir detalle.</t>
  </si>
  <si>
    <t>El detalle funciona y la sección no muestra tarjetas ni controles vacíos.</t>
  </si>
  <si>
    <t>Sección rota cuando el array está vacío.</t>
  </si>
  <si>
    <t>CAT-007</t>
  </si>
  <si>
    <t>Agregar un lote destacado</t>
  </si>
  <si>
    <t>Editar un remate.</t>
  </si>
  <si>
    <t>Nombre: Aparador de roble
URL: https://images.unsplash.com/photo-1618221195710-dd6b41faaea6
Alt: Aparador antiguo de roble.</t>
  </si>
  <si>
    <t>1. Agregar lote.
2. Completar datos.
3. Publicar y abrir detalle.</t>
  </si>
  <si>
    <t>Se muestra una tarjeta con imagen y nombre.</t>
  </si>
  <si>
    <t>Lote no persistido.</t>
  </si>
  <si>
    <t>CAT-008</t>
  </si>
  <si>
    <t>Carrusel</t>
  </si>
  <si>
    <t>Carrusel con más de tres lotes</t>
  </si>
  <si>
    <t>Usar el Caso extremo de la hoja Datos de prueba.</t>
  </si>
  <si>
    <t>Cargar 6 lotes con nombres distintos.</t>
  </si>
  <si>
    <t>1. Abrir detalle en escritorio.
2. Avanzar 8 veces y retroceder 8 veces.</t>
  </si>
  <si>
    <t>Las imágenes recorren circularmente, sin saltos, capas duplicadas ni tarjetas que vuelvan a su lugar.</t>
  </si>
  <si>
    <t>Regresión conocida de animación y orden.</t>
  </si>
  <si>
    <t>CAT-009</t>
  </si>
  <si>
    <t>Bloquear clics repetidos durante transición</t>
  </si>
  <si>
    <t>Detalle con 6 lotes.</t>
  </si>
  <si>
    <t>Hacer clic rápido 10 veces sobre la flecha derecha.</t>
  </si>
  <si>
    <t>1. Ejecutar los clics durante la animación.
2. Esperar que se estabilice.</t>
  </si>
  <si>
    <t>El carrusel queda en un estado válido, sin superposiciones ni controles bloqueados.</t>
  </si>
  <si>
    <t>Condición de carrera en animación.</t>
  </si>
  <si>
    <t>CAT-010</t>
  </si>
  <si>
    <t>Imagen</t>
  </si>
  <si>
    <t>Imagen de lote rota</t>
  </si>
  <si>
    <t>Editar un lote.</t>
  </si>
  <si>
    <t>URL: https://ejemplo.invalid/imagen-inexistente.jpg
Alt: Tractor rojo de prueba.</t>
  </si>
  <si>
    <t>La página no se rompe y el texto alternativo identifica la imagen. Registrar la presentación visual.</t>
  </si>
  <si>
    <t>Dependencia de imágenes externas.</t>
  </si>
  <si>
    <t>CAT-011</t>
  </si>
  <si>
    <t>Rechazar imagen demasiado grande</t>
  </si>
  <si>
    <t>Disponer de JPG/PNG/WebP mayor a 700 KB.</t>
  </si>
  <si>
    <t>Imagen de aproximadamente 1 MB.</t>
  </si>
  <si>
    <t>1. Cargarla en un lote.
2. Revisar el aviso.</t>
  </si>
  <si>
    <t>Informa que supera el máximo y no reemplaza la imagen guardada.</t>
  </si>
  <si>
    <t>Saturación de almacenamiento local.</t>
  </si>
  <si>
    <t>CAT-012</t>
  </si>
  <si>
    <t>Lightbox</t>
  </si>
  <si>
    <t>Abrir y cerrar imagen ampliada</t>
  </si>
  <si>
    <t>Detalle con al menos 3 lotes.</t>
  </si>
  <si>
    <t>Usar lote Mesa de comedor con seis sillas.</t>
  </si>
  <si>
    <t>1. Presionar imagen.
2. Navegar con flechas del lightbox.
3. Cerrar con X, Escape y clic fuera.</t>
  </si>
  <si>
    <t>La imagen se amplía; todas las formas de cierre funcionan y el scroll se restaura.</t>
  </si>
  <si>
    <t>Modal atrapado o navegación inaccesible.</t>
  </si>
  <si>
    <t>WEB-001</t>
  </si>
  <si>
    <t>Enlaces del menú principal</t>
  </si>
  <si>
    <t>Home abierta desde arriba.</t>
  </si>
  <si>
    <t>Próximos remates, Catálogos, Cómo participar, La empresa, Contactar.</t>
  </si>
  <si>
    <t>1. Presionar cada enlace por separado.
2. Revisar la sección de llegada.</t>
  </si>
  <si>
    <t>Cada enlace desplaza a la sección correcta sin recargar en una posición incorrecta.</t>
  </si>
  <si>
    <t>Navegación interna rota.</t>
  </si>
  <si>
    <t>WEB-002</t>
  </si>
  <si>
    <t>Logo vuelve al inicio exacto</t>
  </si>
  <si>
    <t>Estar al final de la home o en un detalle.</t>
  </si>
  <si>
    <t>Logo Zunino Remates.</t>
  </si>
  <si>
    <t>1. Presionar el logo.
2. Esperar el desplazamiento.</t>
  </si>
  <si>
    <t>La ruta queda en / y la pantalla llega al comienzo superior.</t>
  </si>
  <si>
    <t>Logo deja la vista algunos píxeles abajo.</t>
  </si>
  <si>
    <t>WEB-003</t>
  </si>
  <si>
    <t>Detalle</t>
  </si>
  <si>
    <t>Abrir detalle desde una tarjeta</t>
  </si>
  <si>
    <t>Enlace Ver detalle del remate.</t>
  </si>
  <si>
    <t>1. Presionar el enlace.
2. Revisar título, fecha, ubicación, descripción, requisitos y condiciones.</t>
  </si>
  <si>
    <t>La URL usa el slug correcto y todos los datos corresponden al remate elegido.</t>
  </si>
  <si>
    <t>Cruce de información entre remates.</t>
  </si>
  <si>
    <t>WEB-004</t>
  </si>
  <si>
    <t>Ruta de remate inexistente</t>
  </si>
  <si>
    <t>Servidor de desarrollo activo.</t>
  </si>
  <si>
    <t>URL: /remates/remate-que-no-existe</t>
  </si>
  <si>
    <t>1. Abrir la URL manualmente.
2. Presionar Volver a próximos remates.</t>
  </si>
  <si>
    <t>Muestra No encontramos ese evento y vuelve a la sección de próximos remates.</t>
  </si>
  <si>
    <t>Pantalla en blanco o error de aplicación.</t>
  </si>
  <si>
    <t>WEB-005</t>
  </si>
  <si>
    <t>Solo mostrar remates publicados</t>
  </si>
  <si>
    <t>Tener un borrador, uno en revisión, uno publicado y uno finalizado.</t>
  </si>
  <si>
    <t>Estados administrativos variados.</t>
  </si>
  <si>
    <t>1. Abrir la home.
2. Buscar cada título.</t>
  </si>
  <si>
    <t>Solo el publicado aparece en agenda, catálogos y rutas públicas.</t>
  </si>
  <si>
    <t>Filtración de contenido incompleto.</t>
  </si>
  <si>
    <t>WEB-006</t>
  </si>
  <si>
    <t>FAQ</t>
  </si>
  <si>
    <t>Abrir preguntas frecuentes</t>
  </si>
  <si>
    <t>Home en sección Todo lo que necesitás saber.</t>
  </si>
  <si>
    <t>Abrir tres preguntas, incluida ¿Me tengo que registrar previamente?</t>
  </si>
  <si>
    <t>1. Presionar cada pregunta.
2. Volver a cerrarla.</t>
  </si>
  <si>
    <t>Pregunta y respuesta se expanden correctamente; no se superponen.</t>
  </si>
  <si>
    <t>Contenido inaccesible.</t>
  </si>
  <si>
    <t>WEB-007</t>
  </si>
  <si>
    <t>Mapa</t>
  </si>
  <si>
    <t>Abrir ubicación en Google Maps</t>
  </si>
  <si>
    <t>Dirección configurada en Contenido general.</t>
  </si>
  <si>
    <t>Dirección: Av. 18 de Julio 1234, Montevideo.</t>
  </si>
  <si>
    <t>1. Presionar Ver ubicación en Google Maps.
2. Revisar búsqueda.</t>
  </si>
  <si>
    <t>Se abre otra pestaña con la dirección codificada correctamente.</t>
  </si>
  <si>
    <t>Mapa apunta a una ubicación distinta.</t>
  </si>
  <si>
    <t>WEB-008</t>
  </si>
  <si>
    <t>SEO</t>
  </si>
  <si>
    <t>Título del navegador en home y detalle</t>
  </si>
  <si>
    <t>Home y un remate publicado disponibles.</t>
  </si>
  <si>
    <t>Home; detalle Mobiliario y antigüedades.</t>
  </si>
  <si>
    <t>1. Revisar el título de pestaña en home.
2. Abrir detalle y volver a revisar.</t>
  </si>
  <si>
    <t>Home identifica Zunino Remates; detalle incluye el título específico del remate.</t>
  </si>
  <si>
    <t>Páginas indistinguibles para buscadores.</t>
  </si>
  <si>
    <t>WEB-009</t>
  </si>
  <si>
    <t>Vacío</t>
  </si>
  <si>
    <t>Sitio sin remates publicados</t>
  </si>
  <si>
    <t>Finalizar temporalmente todos los remates publicados.</t>
  </si>
  <si>
    <t>No deben quedar estados publicado.</t>
  </si>
  <si>
    <t>1. Abrir la home.
2. Revisar portada, agenda y catálogos.</t>
  </si>
  <si>
    <t>La portada informa que hay remates en preparación; no aparecen tarjetas rotas.</t>
  </si>
  <si>
    <t>Arrays vacíos no contemplados.</t>
  </si>
  <si>
    <t>WEB-010</t>
  </si>
  <si>
    <t>Cambios visibles entre dos pestañas</t>
  </si>
  <si>
    <t>Panel y sitio público abiertos en pestañas distintas.</t>
  </si>
  <si>
    <t>Editar descripción breve y publicar.</t>
  </si>
  <si>
    <t>1. Guardar en el panel.
2. Recargar la pestaña pública.</t>
  </si>
  <si>
    <t>Al recargar, la web muestra el cambio guardado en el mismo navegador.</t>
  </si>
  <si>
    <t>Desincronización de datos locales.</t>
  </si>
  <si>
    <t>CON-001</t>
  </si>
  <si>
    <t>Validación</t>
  </si>
  <si>
    <t>Nombre obligatorio al salir del campo</t>
  </si>
  <si>
    <t>Home &gt; Contacto.</t>
  </si>
  <si>
    <t>Nombre vacío.</t>
  </si>
  <si>
    <t>1. Enfocar Nombre.
2. Salir con Tab sin escribir.</t>
  </si>
  <si>
    <t>Muestra El nombre es obligatorio antes de intentar enviar.</t>
  </si>
  <si>
    <t>Validación tardía.</t>
  </si>
  <si>
    <t>CON-002</t>
  </si>
  <si>
    <t>Email inválido al salir del campo</t>
  </si>
  <si>
    <t>Email: pablo@</t>
  </si>
  <si>
    <t>1. Escribir el email.
2. Salir con Tab.</t>
  </si>
  <si>
    <t>Muestra Ingresá un email válido inmediatamente después del blur.</t>
  </si>
  <si>
    <t>Consultas sin dirección de respuesta.</t>
  </si>
  <si>
    <t>CON-003</t>
  </si>
  <si>
    <t>Variantes de email</t>
  </si>
  <si>
    <t>Probar: pablo; pablo@dominio; pablo @mail.com; pablo+remate@mail.com; pablo.caffaro@sub.dominio.uy</t>
  </si>
  <si>
    <t>1. Probar cada valor y salir del campo.
2. Registrar aceptado/rechazado.</t>
  </si>
  <si>
    <t>Los tres primeros se rechazan. Los dos últimos se aceptan.</t>
  </si>
  <si>
    <t>Expresión regular demasiado estricta o permisiva.</t>
  </si>
  <si>
    <t>CON-004</t>
  </si>
  <si>
    <t>Enviar todos los campos vacíos</t>
  </si>
  <si>
    <t>Formulario limpio.</t>
  </si>
  <si>
    <t>Nombre, email y mensaje vacíos.</t>
  </si>
  <si>
    <t>1. Presionar Enviar consulta.</t>
  </si>
  <si>
    <t>Muestra los tres errores juntos y no intenta enviar.</t>
  </si>
  <si>
    <t>Formulario vacío enviado.</t>
  </si>
  <si>
    <t>CON-005</t>
  </si>
  <si>
    <t>Enviar consulta válida</t>
  </si>
  <si>
    <t>Conexión a Internet activa. FormSubmit puede requerir activar previamente el correo receptor.</t>
  </si>
  <si>
    <t>Nombre: Ana Ferreira
Email: ana.ferreira+test@mail.com
Mensaje: Quiero consultar por el lote 12 del próximo remate.</t>
  </si>
  <si>
    <t>1. Completar datos.
2. Enviar.
3. Revisar estado y correo receptor.</t>
  </si>
  <si>
    <t>Botón muestra Enviando; luego confirma éxito, limpia campos y llega un correo a pablocaffaro2000@gmail.com.</t>
  </si>
  <si>
    <t>Dependencia externa o correo no entregado.</t>
  </si>
  <si>
    <t>CON-006</t>
  </si>
  <si>
    <t>Error</t>
  </si>
  <si>
    <t>Fallo de red al enviar</t>
  </si>
  <si>
    <t>Usar herramientas del navegador para activar Offline.</t>
  </si>
  <si>
    <t>Nombre: Test Offline
Email: offline@test.com
Mensaje: Prueba sin conexión.</t>
  </si>
  <si>
    <t>1. Completar.
2. Activar Offline.
3. Enviar.
4. Restaurar red.</t>
  </si>
  <si>
    <t>Muestra No se pudo enviar y conserva los datos para reintentar.</t>
  </si>
  <si>
    <t>Pérdida de consulta ante falla externa.</t>
  </si>
  <si>
    <t>CON-007</t>
  </si>
  <si>
    <t>Espacios y mensaje largo</t>
  </si>
  <si>
    <t>Formulario abierto.</t>
  </si>
  <si>
    <t>Nombre: tres espacios
Email: espacios@test.com
Mensaje: texto de 5.000 caracteres.</t>
  </si>
  <si>
    <t>1. Probar nombre solo con espacios y salir.
2. Corregir nombre.
3. Pegar mensaje largo.</t>
  </si>
  <si>
    <t>Los espacios se consideran vacío. La interfaz soporta el mensaje largo sin romper el diseño.</t>
  </si>
  <si>
    <t>Datos vacíos encubiertos o desborde visual.</t>
  </si>
  <si>
    <t>CON-008</t>
  </si>
  <si>
    <t>Contenido</t>
  </si>
  <si>
    <t>Editar portada y empresa</t>
  </si>
  <si>
    <t>Panel &gt; Contenido general.</t>
  </si>
  <si>
    <t>Título: Remates presenciales con confianza y transparencia.
Empresa: Más de 15 años acompañando compradores y vendedores.</t>
  </si>
  <si>
    <t>1. Cambiar textos.
2. Guardar cambios.
3. Recargar home.</t>
  </si>
  <si>
    <t>Aparece Cambios guardados y la web muestra los nuevos textos.</t>
  </si>
  <si>
    <t>Editor no conectado al contenido público.</t>
  </si>
  <si>
    <t>CON-009</t>
  </si>
  <si>
    <t>Agregar y editar FAQ</t>
  </si>
  <si>
    <t>Pregunta: ¿Se puede inspeccionar antes?
Respuesta: Sí, coordinando previamente con nuestro equipo.</t>
  </si>
  <si>
    <t>1. Agregar pregunta.
2. Completar.
3. Guardar.
4. Revisar home.
5. Editar respuesta y guardar.</t>
  </si>
  <si>
    <t>La FAQ aparece y luego refleja la edición.</t>
  </si>
  <si>
    <t>Contenido dinámico no persistido.</t>
  </si>
  <si>
    <t>CON-010</t>
  </si>
  <si>
    <t>Eliminar FAQ</t>
  </si>
  <si>
    <t>Crear una FAQ exclusiva para borrar.</t>
  </si>
  <si>
    <t>Pregunta: BORRAR - pregunta temporal.</t>
  </si>
  <si>
    <t>1. Eliminar pregunta.
2. Guardar cambios.
3. Revisar home y recargar.</t>
  </si>
  <si>
    <t>La FAQ desaparece y no vuelve después de recargar.</t>
  </si>
  <si>
    <t>Borrado no persistente.</t>
  </si>
  <si>
    <t>CON-011</t>
  </si>
  <si>
    <t>URL embebida inválida</t>
  </si>
  <si>
    <t>URL de Maps: https://example.com</t>
  </si>
  <si>
    <t>1. Guardar la URL.
2. Revisar la sección del mapa.
3. Restaurar el valor anterior.</t>
  </si>
  <si>
    <t>Registrar cómo falla el iframe. Idealmente el panel debería validar que sea una URL embebible de Maps.</t>
  </si>
  <si>
    <t>Contenido externo inseguro o mapa vacío.</t>
  </si>
  <si>
    <t>MOB-001</t>
  </si>
  <si>
    <t>Responsive</t>
  </si>
  <si>
    <t>Home en móvil pequeño</t>
  </si>
  <si>
    <t>Abrir herramientas responsive.</t>
  </si>
  <si>
    <t>Viewport: 320 × 568; zoom 100%.</t>
  </si>
  <si>
    <t>1. Recorrer toda la home.
2. Revisar textos, tarjetas, mapa y formulario.</t>
  </si>
  <si>
    <t>No hay scroll horizontal, contenido cortado ni botones fuera de pantalla.</t>
  </si>
  <si>
    <t>Uso imposible en equipos pequeños.</t>
  </si>
  <si>
    <t>MOB-002</t>
  </si>
  <si>
    <t>Home en móvil estándar</t>
  </si>
  <si>
    <t>Herramientas responsive abiertas.</t>
  </si>
  <si>
    <t>Viewport: 390 × 844.</t>
  </si>
  <si>
    <t>1. Recorrer home.
2. Abrir menú.
3. Navegar a Contacto.</t>
  </si>
  <si>
    <t>El menú y todas las secciones se ajustan correctamente.</t>
  </si>
  <si>
    <t>Diseño mobile inconsistente.</t>
  </si>
  <si>
    <t>MOB-003</t>
  </si>
  <si>
    <t>Detalle y carrusel en móvil</t>
  </si>
  <si>
    <t>Viewport: 375 × 812.</t>
  </si>
  <si>
    <t>1. Recorrer detalle.
2. Usar ambas flechas.
3. Abrir lightbox.</t>
  </si>
  <si>
    <t>Se ve una tarjeta por vez; flechas accesibles; imagen ampliada cabe en pantalla.</t>
  </si>
  <si>
    <t>Carrusel cortado o modal desbordado.</t>
  </si>
  <si>
    <t>MOB-004</t>
  </si>
  <si>
    <t>Panel administrador en móvil</t>
  </si>
  <si>
    <t>Sesión activa.</t>
  </si>
  <si>
    <t>1. Recorrer Resumen, Remates y editor.
2. Completar campos.
3. Revisar acciones inferiores.</t>
  </si>
  <si>
    <t>No hay campos inaccesibles; listado y botones pueden utilizarse sin superposición.</t>
  </si>
  <si>
    <t>Administración imposible desde teléfono.</t>
  </si>
  <si>
    <t>MOB-005</t>
  </si>
  <si>
    <t>Menú</t>
  </si>
  <si>
    <t>Cerrar menú móvil con Escape</t>
  </si>
  <si>
    <t>Viewport menor a 900 px.</t>
  </si>
  <si>
    <t>Tecla Escape.</t>
  </si>
  <si>
    <t>1. Abrir Menú.
2. Presionar Escape.</t>
  </si>
  <si>
    <t>El menú se cierra y el botón anuncia Abrir menú.</t>
  </si>
  <si>
    <t>Menú atrapado.</t>
  </si>
  <si>
    <t>MOB-006</t>
  </si>
  <si>
    <t>Cerrar menú al ampliar ventana</t>
  </si>
  <si>
    <t>Abrir menú con viewport 800 px.</t>
  </si>
  <si>
    <t>Cambiar ancho de 800 px a 1024 px.</t>
  </si>
  <si>
    <t>1. Abrir menú.
2. Ampliar viewport.</t>
  </si>
  <si>
    <t>El estado móvil se cierra y aparece la navegación de escritorio.</t>
  </si>
  <si>
    <t>Menú duplicado tras rotación.</t>
  </si>
  <si>
    <t>ACC-A11Y-001</t>
  </si>
  <si>
    <t>Teclado</t>
  </si>
  <si>
    <t>Recorrer la web solo con Tab</t>
  </si>
  <si>
    <t>Home cargada; no usar mouse.</t>
  </si>
  <si>
    <t>Tab, Shift+Tab, Enter y Espacio.</t>
  </si>
  <si>
    <t>1. Recorrer menú, botones, FAQs y formulario.
2. Abrir un detalle.</t>
  </si>
  <si>
    <t>El orden es lógico, todo control es operable y el foco siempre es visible.</t>
  </si>
  <si>
    <t>Barreras para usuarios de teclado.</t>
  </si>
  <si>
    <t>ACC-A11Y-002</t>
  </si>
  <si>
    <t>Usar enlace Saltar al contenido</t>
  </si>
  <si>
    <t>Recargar la home y no usar mouse.</t>
  </si>
  <si>
    <t>Primera pulsación de Tab.</t>
  </si>
  <si>
    <t>1. Presionar Tab.
2. Activar Saltar al contenido principal.</t>
  </si>
  <si>
    <t>El enlace se hace visible y mueve el foco/contenido al área principal.</t>
  </si>
  <si>
    <t>Navegación repetitiva para lectores de pantalla.</t>
  </si>
  <si>
    <t>ACC-A11Y-003</t>
  </si>
  <si>
    <t>Zoom</t>
  </si>
  <si>
    <t>Zoom del navegador al 200%</t>
  </si>
  <si>
    <t>Home y detalle disponibles.</t>
  </si>
  <si>
    <t>Zoom: 200%; ventana 1280 px.</t>
  </si>
  <si>
    <t>1. Recorrer home, detalle y formulario.
2. Abrir menú si aparece.</t>
  </si>
  <si>
    <t>El contenido sigue legible y utilizable sin solapamientos.</t>
  </si>
  <si>
    <t>Incumplimiento de reflow.</t>
  </si>
  <si>
    <t>ACC-A11Y-004</t>
  </si>
  <si>
    <t>Movimiento</t>
  </si>
  <si>
    <t>Preferencia de movimiento reducido</t>
  </si>
  <si>
    <t>Sistema o navegador con Reduce motion activado.</t>
  </si>
  <si>
    <t>prefers-reduced-motion: reduce.</t>
  </si>
  <si>
    <t>1. Recargar home.
2. Navegar y observar animaciones.</t>
  </si>
  <si>
    <t>Las animaciones y desplazamientos se reducen o desactivan.</t>
  </si>
  <si>
    <t>Mareo o incomodidad por movimiento.</t>
  </si>
  <si>
    <t>Juegos completos de datos para crear remates</t>
  </si>
  <si>
    <t>Campo</t>
  </si>
  <si>
    <t>Caso extremo</t>
  </si>
  <si>
    <t>Notas</t>
  </si>
  <si>
    <t>Título</t>
  </si>
  <si>
    <t>Remate de mobiliario y antigüedades</t>
  </si>
  <si>
    <t>Remate de vehículos utilitarios</t>
  </si>
  <si>
    <t>Ómnibus, camiones &amp; maquinaria – edición Nº 2</t>
  </si>
  <si>
    <t>Obligatorio</t>
  </si>
  <si>
    <t>Ruta o slug</t>
  </si>
  <si>
    <t>mobiliario-y-antiguedades</t>
  </si>
  <si>
    <t>vehiculos-utilitarios-agosto</t>
  </si>
  <si>
    <t>omnibus-camiones-maquinaria-edicion-2</t>
  </si>
  <si>
    <t>Fecha y hora completas</t>
  </si>
  <si>
    <t>Subtítulo</t>
  </si>
  <si>
    <t>Muebles, objetos decorativos y piezas seleccionadas</t>
  </si>
  <si>
    <t>Flota urbana y unidades de trabajo</t>
  </si>
  <si>
    <t>Liquidación especial con más de 120 lotes seleccionados</t>
  </si>
  <si>
    <t>Lugar resumido</t>
  </si>
  <si>
    <t>Salón Zunino · Montevideo</t>
  </si>
  <si>
    <t>Predio Central · Canelones</t>
  </si>
  <si>
    <t>Predio Norte · Ruta 5 Km 28</t>
  </si>
  <si>
    <t>Estado visible del catálogo</t>
  </si>
  <si>
    <t>Próximamente</t>
  </si>
  <si>
    <t>Disponible</t>
  </si>
  <si>
    <t>Preliminar</t>
  </si>
  <si>
    <t>Elegir en la lista</t>
  </si>
  <si>
    <t>Ubicación detallada</t>
  </si>
  <si>
    <t>Salón Zunino, Av. 18 de Julio 1234, Montevideo. Exposición desde las 13:00.</t>
  </si>
  <si>
    <t>Predio Central, Camino Los Aromos 2450, Canelones. Visitas coordinadas.</t>
  </si>
  <si>
    <t>Predio Norte, Ruta 5 Km 28. Ingreso de vehículos pesados por portón lateral.</t>
  </si>
  <si>
    <t>Descripción breve</t>
  </si>
  <si>
    <t>Muebles antiguos, cuadros y piezas seleccionadas para el hogar.</t>
  </si>
  <si>
    <t>Pickups, furgones y unidades de trabajo con inspección previa.</t>
  </si>
  <si>
    <t>Camiones, ómnibus, herramientas y maquinaria de distintos rubros.</t>
  </si>
  <si>
    <t>Visible en la tarjeta</t>
  </si>
  <si>
    <t>Descripción completa</t>
  </si>
  <si>
    <t>Remate presencial de mobiliario, antigüedades y objetos decorativos. La exposición estará disponible antes del comienzo para revisar cada pieza.</t>
  </si>
  <si>
    <t>Remate presencial de vehículos utilitarios seleccionados. Cada unidad podrá inspeccionarse antes del evento con coordinación previa.</t>
  </si>
  <si>
    <t>Jornada especial con más de 120 lotes. Incluye vehículos, equipos y herramientas. Los datos contienen tildes, símbolos, porcentajes 12,5% y referencias Nº 1 al Nº 120 para probar textos extensos.</t>
  </si>
  <si>
    <t>Visible en el detalle</t>
  </si>
  <si>
    <t>Texto sobre el catálogo</t>
  </si>
  <si>
    <t>El catálogo todavía está en preparación y será publicado próximamente.</t>
  </si>
  <si>
    <t>Catálogo completo disponible con fotografías y condiciones por unidad.</t>
  </si>
  <si>
    <t>Catálogo preliminar sujeto a incorporación o retiro de lotes antes del evento.</t>
  </si>
  <si>
    <t>Requisitos</t>
  </si>
  <si>
    <t>Presentar documento de identidad vigente
Registrarse antes del inicio
Proporcionar datos de contacto</t>
  </si>
  <si>
    <t>Documento vigente
Datos de facturación
Lectura previa de condiciones</t>
  </si>
  <si>
    <t>Documento vigente
Registro presencial
Aceptación de comisión
Coordinación para retiro de equipos grandes</t>
  </si>
  <si>
    <t>Uno por línea; al menos uno</t>
  </si>
  <si>
    <t>Condiciones</t>
  </si>
  <si>
    <t>Venta en el estado en que se encuentra
Pago dentro de 48 horas
Retiro a cargo del comprador</t>
  </si>
  <si>
    <t>Inspección previa recomendada
Pago según condiciones publicadas
Entrega al confirmar documentación</t>
  </si>
  <si>
    <t>Comisión 12,5%
Pago dentro de 24 horas
Retiro coordinado por franjas
Equipos pesados requieren transporte habilitado</t>
  </si>
  <si>
    <t>Una por línea; al menos una</t>
  </si>
  <si>
    <t>Lote 1</t>
  </si>
  <si>
    <t>Aparador antiguo de roble | https://images.unsplash.com/photo-1618221195710-dd6b41faaea6 | Aparador antiguo de roble</t>
  </si>
  <si>
    <t>Pickup mediana | https://images.unsplash.com/photo-1494976388531-d1058494cdd8 | Pickup mediana de trabajo</t>
  </si>
  <si>
    <t>Camión liviano Nº 1 | https://images.unsplash.com/photo-1601584115197-04ecc0da31d7 | Camión liviano blanco</t>
  </si>
  <si>
    <t>Formato: nombre | URL | texto alternativo</t>
  </si>
  <si>
    <t>Lote 2</t>
  </si>
  <si>
    <t>Juego de sillones clásicos | https://images.unsplash.com/photo-1555041469-a586c61ea9bc | Juego de sillones tapizados</t>
  </si>
  <si>
    <t>Furgón urbano | https://images.unsplash.com/photo-1533473359331-0135ef1b58bf | Furgón urbano de reparto</t>
  </si>
  <si>
    <t>Ómnibus urbano Nº 2 | https://images.unsplash.com/photo-1570125909232-eb263c188f7e | Ómnibus urbano</t>
  </si>
  <si>
    <t>Lote 3</t>
  </si>
  <si>
    <t>Mesa con seis sillas | https://images.unsplash.com/photo-1617806118233-18e1de247200 | Mesa de madera con seis sillas</t>
  </si>
  <si>
    <t>Unidad comercial | https://images.unsplash.com/photo-1503376780353-7e6692767b70 | Vehículo comercial</t>
  </si>
  <si>
    <t>Compresor industrial Nº 3 | /media/remates/maquinaria-lote-01.svg | Compresor industrial</t>
  </si>
  <si>
    <t>Lote 4</t>
  </si>
  <si>
    <t>Torno con accesorios Nº 4 | /media/remates/maquinaria-lote-02.svg | Torno con banco y accesorios</t>
  </si>
  <si>
    <t>Usar para probar carrusel</t>
  </si>
  <si>
    <t>Lote 5</t>
  </si>
  <si>
    <t>Herramientas pesadas Nº 5 | /media/remates/maquinaria-principal.svg | Lote de herramientas pesadas</t>
  </si>
  <si>
    <t>Lote 6</t>
  </si>
  <si>
    <t>Imagen rota Nº 6 | https://ejemplo.invalid/no-existe.jpg | Lote con imagen no disponible</t>
  </si>
  <si>
    <t>Caso de riesgo intencional</t>
  </si>
  <si>
    <t>Plan de pruebas manuales · Zunino Remates Web</t>
  </si>
  <si>
    <t>Cómo usar este libro</t>
  </si>
  <si>
    <t>1. Ejecutá npm run dev desde la carpeta del proyecto y abrí http://localhost:5173.
2. Probá cada caso con los datos indicados. Algunos casos de riesgo están diseñados para revelar limitaciones y pueden fallar.
3. Elegí un Estado, completá Resultado real y anotá cualquier cambio deseado en Comentarios.
4. Antes de pruebas destructivas, usá datos identificados como BORRAR o restablecé la demostración al finalizar.</t>
  </si>
  <si>
    <t>Dato</t>
  </si>
  <si>
    <t>Valor</t>
  </si>
  <si>
    <t>Ruta pública</t>
  </si>
  <si>
    <t>http://localhost:5173/</t>
  </si>
  <si>
    <t>Ruta administrativa</t>
  </si>
  <si>
    <t>http://localhost:5173/admin12345</t>
  </si>
  <si>
    <t>Usuario demo</t>
  </si>
  <si>
    <t>admin_zunino</t>
  </si>
  <si>
    <t>Contraseña demo</t>
  </si>
  <si>
    <t>Zunino#Admin_7304!</t>
  </si>
  <si>
    <t>Indicador</t>
  </si>
  <si>
    <t>Cantidad</t>
  </si>
  <si>
    <t>Total de casos</t>
  </si>
  <si>
    <t>No ejecutados</t>
  </si>
  <si>
    <t>Aprobados</t>
  </si>
  <si>
    <t>Fallidos</t>
  </si>
  <si>
    <t>Bloqueados</t>
  </si>
  <si>
    <t>Área</t>
  </si>
  <si>
    <t>Casos</t>
  </si>
  <si>
    <t>Acceso y sesión</t>
  </si>
  <si>
    <t>Gestión de remates</t>
  </si>
  <si>
    <t>Catálogo y lotes</t>
  </si>
  <si>
    <t>Web pública</t>
  </si>
  <si>
    <t>Contenido y contacto</t>
  </si>
  <si>
    <t>Mobile y accesibilidad</t>
  </si>
  <si>
    <t>TOTAL</t>
  </si>
  <si>
    <t>Aprobado</t>
  </si>
  <si>
    <t>Falló</t>
  </si>
  <si>
    <t>Bloqueado</t>
  </si>
  <si>
    <t>No aplica</t>
  </si>
  <si>
    <t>Criterio para registrar resultados</t>
  </si>
  <si>
    <t>Aprobado: coincide con el resultado esperado.
Falló: el comportamiento es incorrecto o no cumple lo esperado.
Bloqueado: no se pudo probar por falta de archivo, red, servicio externo u otra condición.
No aplica: el caso dejó de corresponder al alcance. En casos de riesgo, un fallo es información útil para decidir una mejora.</t>
  </si>
  <si>
    <t>Publicar un remate completo</t>
  </si>
  <si>
    <t>Usar la columna Caso base de la hoja Datos de prueba.</t>
  </si>
  <si>
    <t>1. Copiar todos los datos obligatorios.
2. Presionar Publicar remate.
3. Abrir la web pública.</t>
  </si>
  <si>
    <t>Publica correctamente y el remate aparece en la web pública.</t>
  </si>
  <si>
    <t>Publicación válida bloqueada o datos públicos incompletos.</t>
  </si>
  <si>
    <t>Fecha y hora: 15/08/2026 15:00</t>
  </si>
  <si>
    <t>Caso base</t>
  </si>
  <si>
    <t>Segundo caso</t>
  </si>
  <si>
    <t>Se genera automáticamente y debe ser única.</t>
  </si>
  <si>
    <t>15/08/2026 15:00</t>
  </si>
  <si>
    <t>21/08/2026 18:30</t>
  </si>
  <si>
    <t>Formato dd/mm/yyyy HH:mm o Fecha a confirmar.</t>
  </si>
  <si>
    <t>Obligatorio para informar el estado del catálogo.</t>
  </si>
  <si>
    <t>ACC-008</t>
  </si>
  <si>
    <t>Temporal</t>
  </si>
  <si>
    <t>Ocultar error luego de diez segundos</t>
  </si>
  <si>
    <t>Credenciales incorrectas.</t>
  </si>
  <si>
    <t>1. Intentar ingresar.
2. Esperar 10 segundos.</t>
  </si>
  <si>
    <t>El aviso aparece y se retira automáticamente al cumplirse el tiempo.</t>
  </si>
  <si>
    <t>Aviso permanente que confunde intentos posteriores.</t>
  </si>
  <si>
    <t>ACC-009</t>
  </si>
  <si>
    <t>UX</t>
  </si>
  <si>
    <t>Reiniciar aviso al repetir un error</t>
  </si>
  <si>
    <t>Repetir dos veces las mismas credenciales incorrectas.</t>
  </si>
  <si>
    <t>1. Fallar el ingreso.
2. Volver a presionar Ingresar antes de 10 segundos.</t>
  </si>
  <si>
    <t>El aviso vuelve a entrar rápidamente y su contador de diez segundos se reinicia.</t>
  </si>
  <si>
    <t>No distinguir un error nuevo del anterior.</t>
  </si>
  <si>
    <t>ACC-010</t>
  </si>
  <si>
    <t>Accesibilidad</t>
  </si>
  <si>
    <t>Mantener control de contraseña visible</t>
  </si>
  <si>
    <t>Contraseña incorrecta.</t>
  </si>
  <si>
    <t>1. Mostrar la contraseña.
2. Ocultarla.
3. Fallar el ingreso.</t>
  </si>
  <si>
    <t>El control Mostrar u Ocultar continúa visible y operativo después del error.</t>
  </si>
  <si>
    <t>Pérdida del control de visibilidad.</t>
  </si>
  <si>
    <t>REM-019</t>
  </si>
  <si>
    <t>Rechazar fechas inválidas</t>
  </si>
  <si>
    <t>Crear un remate con el resto de datos completos.</t>
  </si>
  <si>
    <t>Probar: Cualquier cosa; 31/02/2026 17:00; 20/06/2026 25:00.</t>
  </si>
  <si>
    <t>1. Probar cada valor.
2. Presionar Publicar remate.</t>
  </si>
  <si>
    <t>No publica y solicita una fecha válida con formato dd/mm/yyyy HH:mm.</t>
  </si>
  <si>
    <t>Eventos publicados con fechas arbitrarias o inexistentes.</t>
  </si>
  <si>
    <t>REM-020</t>
  </si>
  <si>
    <t>Publicar con fecha a confirmar</t>
  </si>
  <si>
    <t>Crear un remate con los demás obligatorios completos.</t>
  </si>
  <si>
    <t>Marcar Fecha a confirmar y dejar fecha vacía.</t>
  </si>
  <si>
    <t>1. Marcar la opción.
2. Publicar.
3. Revisar home y detalle.</t>
  </si>
  <si>
    <t>Publica y muestra Fecha a confirmar en lugar de una fecha inventada.</t>
  </si>
  <si>
    <t>Bloqueo de eventos cuya fecha aún no está definida.</t>
  </si>
  <si>
    <t>REM-021</t>
  </si>
  <si>
    <t>Generar slug único desde el título</t>
  </si>
  <si>
    <t>Debe existir un remate titulado Remate especial.</t>
  </si>
  <si>
    <t>Crear otro remate con el mismo título.</t>
  </si>
  <si>
    <t>1. Escribir el título duplicado.
2. Revisar el slug.
3. Guardar y abrir ambos detalles.</t>
  </si>
  <si>
    <t>El slug no es editable y el segundo termina en -2 o en el siguiente índice disponible.</t>
  </si>
  <si>
    <t>Rutas duplicadas o detalle equivocado.</t>
  </si>
  <si>
    <t>MOB-011</t>
  </si>
  <si>
    <t>Alineación en pantalla 2K</t>
  </si>
  <si>
    <t>Abrir home y panel administrador.</t>
  </si>
  <si>
    <t>Viewport: 2560 × 1440; zoom 100%.</t>
  </si>
  <si>
    <t>1. Recorrer la home.
2. Abrir el panel y sus secciones.
3. Comparar márgenes laterales.</t>
  </si>
  <si>
    <t>El contenido aprovecha el ancho, queda centrado y conserva líneas legibles sin huecos desproporcionados.</t>
  </si>
  <si>
    <t>Diseño angosto o desalineado en monitores grandes.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</si>
</sst>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0"/>
      <color theme="1"/>
      <name val="Aptos"/>
      <family val="2"/>
    </font>
    <font>
      <b/>
      <sz val="10"/>
      <color rgb="FF125334"/>
      <name val="Aptos"/>
      <family val="2"/>
    </font>
    <font>
      <b/>
      <sz val="11"/>
      <color rgb="FFFFFFFF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20"/>
      <color rgb="FFFFFFFF"/>
      <name val="Aptos"/>
      <family val="2"/>
    </font>
    <font>
      <b/>
      <sz val="14"/>
      <color theme="1"/>
      <name val="Aptos"/>
      <family val="2"/>
    </font>
    <font>
      <b/>
      <sz val="11"/>
      <color rgb="FFFFFFFF"/>
      <name val="Aptos"/>
      <family val="2"/>
    </font>
    <font>
      <b/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125334"/>
        <bgColor indexed="64"/>
      </patternFill>
    </fill>
    <fill>
      <patternFill patternType="solid">
        <fgColor rgb="FFEBF4ED"/>
        <bgColor indexed="64"/>
      </patternFill>
    </fill>
    <fill>
      <patternFill patternType="solid">
        <fgColor rgb="FFDBEBDF"/>
        <bgColor indexed="64"/>
      </patternFill>
    </fill>
    <fill>
      <patternFill patternType="solid">
        <fgColor rgb="FFF7FAF7"/>
        <bgColor indexed="64"/>
      </patternFill>
    </fill>
  </fills>
  <borders count="11">
    <border>
      <left/>
      <right/>
      <top/>
      <bottom/>
      <diagonal/>
    </border>
    <border>
      <left style="thin">
        <color rgb="FFDAE2DC"/>
      </left>
      <right style="thin">
        <color rgb="FFDAE2DC"/>
      </right>
      <top style="thin">
        <color rgb="FFDAE2DC"/>
      </top>
      <bottom style="thin">
        <color rgb="FFDAE2DC"/>
      </bottom>
      <diagonal/>
    </border>
    <border>
      <left/>
      <right style="thin">
        <color rgb="FFDAE2DC"/>
      </right>
      <top style="thin">
        <color rgb="FFDAE2DC"/>
      </top>
      <bottom style="thin">
        <color rgb="FFDAE2DC"/>
      </bottom>
      <diagonal/>
    </border>
    <border>
      <left style="thin">
        <color rgb="FFDAE2DC"/>
      </left>
      <right/>
      <top style="thin">
        <color rgb="FFDAE2DC"/>
      </top>
      <bottom style="thin">
        <color rgb="FFDAE2DC"/>
      </bottom>
      <diagonal/>
    </border>
    <border>
      <left/>
      <right style="thin">
        <color rgb="FFDAE2DC"/>
      </right>
      <top/>
      <bottom style="thin">
        <color rgb="FFDAE2DC"/>
      </bottom>
      <diagonal/>
    </border>
    <border>
      <left style="thin">
        <color rgb="FFDAE2DC"/>
      </left>
      <right style="thin">
        <color rgb="FFDAE2DC"/>
      </right>
      <top/>
      <bottom style="thin">
        <color rgb="FFDAE2DC"/>
      </bottom>
      <diagonal/>
    </border>
    <border>
      <left style="thin">
        <color rgb="FFDAE2DC"/>
      </left>
      <right/>
      <top/>
      <bottom style="thin">
        <color rgb="FFDAE2DC"/>
      </bottom>
      <diagonal/>
    </border>
    <border>
      <left/>
      <right style="thin">
        <color rgb="FFDAE2DC"/>
      </right>
      <top style="thin">
        <color rgb="FFDAE2DC"/>
      </top>
      <bottom/>
      <diagonal/>
    </border>
    <border>
      <left style="thin">
        <color rgb="FFDAE2DC"/>
      </left>
      <right style="thin">
        <color rgb="FFDAE2DC"/>
      </right>
      <top style="thin">
        <color rgb="FFDAE2DC"/>
      </top>
      <bottom/>
      <diagonal/>
    </border>
    <border>
      <left style="thin">
        <color rgb="FFDAE2DC"/>
      </left>
      <right/>
      <top style="thin">
        <color rgb="FFDAE2DC"/>
      </top>
      <bottom/>
      <diagonal/>
    </border>
    <border>
      <left/>
      <right/>
      <top style="thin">
        <color rgb="FFDAE2DC"/>
      </top>
      <bottom style="thin">
        <color rgb="FFDAE2D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0" borderId="1" xfId="0" applyFont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2" borderId="5" xfId="0" applyFont="1" applyFill="1" applyBorder="1" applyAlignment="1">
      <alignment horizontal="center" vertical="top" wrapText="1"/>
    </xf>
    <xf numFmtId="0" fontId="4" fillId="2" borderId="6" xfId="0" applyFont="1" applyFill="1" applyBorder="1" applyAlignment="1">
      <alignment horizontal="center" vertical="top" wrapText="1"/>
    </xf>
    <xf numFmtId="0" fontId="3" fillId="0" borderId="8" xfId="0" applyFont="1" applyBorder="1" applyAlignment="1">
      <alignment vertical="top" wrapText="1"/>
    </xf>
    <xf numFmtId="164" fontId="3" fillId="0" borderId="8" xfId="0" applyNumberFormat="1" applyFont="1" applyBorder="1" applyAlignment="1">
      <alignment vertical="top" wrapText="1"/>
    </xf>
    <xf numFmtId="0" fontId="3" fillId="0" borderId="9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6" fillId="0" borderId="2" xfId="0" applyFont="1" applyBorder="1" applyAlignment="1">
      <alignment vertical="top" wrapText="1"/>
    </xf>
    <xf numFmtId="0" fontId="6" fillId="0" borderId="7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3" borderId="2" xfId="0" applyFont="1" applyFill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7" fillId="2" borderId="4" xfId="0" applyFont="1" applyFill="1" applyBorder="1" applyAlignment="1">
      <alignment vertical="top" wrapText="1"/>
    </xf>
    <xf numFmtId="0" fontId="7" fillId="2" borderId="5" xfId="0" applyFont="1" applyFill="1" applyBorder="1" applyAlignment="1">
      <alignment vertical="top" wrapText="1"/>
    </xf>
    <xf numFmtId="0" fontId="7" fillId="2" borderId="6" xfId="0" applyFont="1" applyFill="1" applyBorder="1" applyAlignment="1">
      <alignment vertical="top" wrapText="1"/>
    </xf>
    <xf numFmtId="0" fontId="1" fillId="3" borderId="7" xfId="0" applyFont="1" applyFill="1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2" fillId="0" borderId="0" xfId="0" applyFont="1" applyAlignment="1">
      <alignment vertical="top"/>
    </xf>
    <xf numFmtId="0" fontId="11" fillId="2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0" fontId="12" fillId="0" borderId="1" xfId="0" applyFont="1" applyBorder="1" applyAlignment="1">
      <alignment vertical="top"/>
    </xf>
    <xf numFmtId="0" fontId="8" fillId="2" borderId="0" xfId="0" applyFont="1" applyFill="1"/>
    <xf numFmtId="0" fontId="9" fillId="2" borderId="0" xfId="0" applyFont="1" applyFill="1" applyAlignment="1">
      <alignment vertical="top"/>
    </xf>
    <xf numFmtId="0" fontId="10" fillId="4" borderId="0" xfId="0" applyFont="1" applyFill="1" applyAlignment="1">
      <alignment vertical="top"/>
    </xf>
    <xf numFmtId="0" fontId="2" fillId="5" borderId="0" xfId="0" applyFont="1" applyFill="1" applyAlignment="1">
      <alignment vertical="top" wrapText="1"/>
    </xf>
    <xf numFmtId="0" fontId="12" fillId="4" borderId="0" xfId="0" applyFont="1" applyFill="1" applyAlignment="1">
      <alignment vertical="top"/>
    </xf>
    <xf numFmtId="22" fontId="0" fillId="0" borderId="1" xfId="0" applyNumberFormat="1" applyBorder="1" applyAlignment="1">
      <alignment vertical="top" wrapText="1"/>
    </xf>
    <xf numFmtId="0" fontId="6" fillId="0" borderId="10" xfId="0" applyFont="1" applyFill="1" applyBorder="1" applyAlignment="1">
      <alignment vertical="top" wrapText="1"/>
    </xf>
    <xf numFmtId="0" fontId="5" fillId="0" borderId="2" xfId="0" applyFont="1" applyFill="1" applyBorder="1" applyAlignment="1">
      <alignment horizontal="center" vertical="top" wrapText="1"/>
    </xf>
    <xf numFmtId="0" fontId="3" fillId="0" borderId="2" xfId="0" applyFont="1" applyFill="1" applyBorder="1" applyAlignment="1">
      <alignment vertical="top" wrapText="1"/>
    </xf>
    <xf numFmtId="0" fontId="3" fillId="0" borderId="1" xfId="0" applyFont="1" applyFill="1" applyBorder="1" applyAlignment="1">
      <alignment vertical="top" wrapText="1"/>
    </xf>
    <xf numFmtId="164" fontId="3" fillId="0" borderId="1" xfId="0" applyNumberFormat="1" applyFont="1" applyFill="1" applyBorder="1" applyAlignment="1">
      <alignment vertical="top" wrapText="1"/>
    </xf>
    <xf numFmtId="0" fontId="3" fillId="0" borderId="3" xfId="0" applyFont="1" applyFill="1" applyBorder="1" applyAlignment="1">
      <alignment vertical="top" wrapText="1"/>
    </xf>
  </cellXfs>
  <cellStyles count="1">
    <cellStyle name="Normal" xfId="0" builtinId="0"/>
  </cellStyles>
  <dxfs count="142"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color rgb="FF8A5D0A"/>
      </font>
      <fill>
        <patternFill>
          <bgColor rgb="FFFFF0CD"/>
        </patternFill>
      </fill>
    </dxf>
    <dxf>
      <font>
        <color rgb="FF991B1B"/>
      </font>
      <fill>
        <patternFill>
          <bgColor rgb="FFFCE2E2"/>
        </patternFill>
      </fill>
    </dxf>
    <dxf>
      <font>
        <color rgb="FF156938"/>
      </font>
      <fill>
        <patternFill>
          <bgColor rgb="FFDCF4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/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4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  <border diagonalUp="0" diagonalDown="0" outline="0"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25334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/>
        <right/>
        <top style="thin">
          <color rgb="FFDAE2DC"/>
        </top>
        <bottom style="thin">
          <color rgb="FFDAE2DC"/>
        </bottom>
      </border>
    </dxf>
    <dxf>
      <border outline="0">
        <top style="thin">
          <color rgb="FFDAE2DC"/>
        </top>
      </border>
    </dxf>
    <dxf>
      <border outline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border outline="0"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125334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DAE2DC"/>
        </left>
        <right style="thin">
          <color rgb="FFDAE2D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/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4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  <border diagonalUp="0" diagonalDown="0" outline="0"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25334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/>
        <right/>
        <top style="thin">
          <color rgb="FFDAE2DC"/>
        </top>
        <bottom style="thin">
          <color rgb="FFDAE2DC"/>
        </bottom>
      </border>
    </dxf>
    <dxf>
      <border outline="0">
        <top style="thin">
          <color rgb="FFDAE2DC"/>
        </top>
      </border>
    </dxf>
    <dxf>
      <border outline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border outline="0"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125334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DAE2DC"/>
        </left>
        <right style="thin">
          <color rgb="FFDAE2D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/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4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  <border diagonalUp="0" diagonalDown="0" outline="0"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25334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/>
        <right/>
        <top style="thin">
          <color rgb="FFDAE2DC"/>
        </top>
        <bottom style="thin">
          <color rgb="FFDAE2DC"/>
        </bottom>
      </border>
    </dxf>
    <dxf>
      <border outline="0">
        <top style="thin">
          <color rgb="FFDAE2DC"/>
        </top>
      </border>
    </dxf>
    <dxf>
      <border outline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border outline="0"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125334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DAE2DC"/>
        </left>
        <right style="thin">
          <color rgb="FFDAE2D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/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4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  <border diagonalUp="0" diagonalDown="0" outline="0"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25334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/>
        <right/>
        <top style="thin">
          <color rgb="FFDAE2DC"/>
        </top>
        <bottom style="thin">
          <color rgb="FFDAE2DC"/>
        </bottom>
      </border>
    </dxf>
    <dxf>
      <border outline="0">
        <top style="thin">
          <color rgb="FFDAE2DC"/>
        </top>
      </border>
    </dxf>
    <dxf>
      <border outline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border outline="0"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125334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DAE2DC"/>
        </left>
        <right style="thin">
          <color rgb="FFDAE2D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/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4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  <border diagonalUp="0" diagonalDown="0" outline="0"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25334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/>
        <right/>
        <top style="thin">
          <color rgb="FFDAE2DC"/>
        </top>
        <bottom style="thin">
          <color rgb="FFDAE2DC"/>
        </bottom>
      </border>
    </dxf>
    <dxf>
      <border outline="0">
        <top style="thin">
          <color rgb="FFDAE2DC"/>
        </top>
      </border>
    </dxf>
    <dxf>
      <border outline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border outline="0"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125334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DAE2DC"/>
        </left>
        <right style="thin">
          <color rgb="FFDAE2D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/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4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  <border diagonalUp="0" diagonalDown="0" outline="0">
        <left/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25334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/>
        <right/>
        <top style="thin">
          <color rgb="FFDAE2DC"/>
        </top>
        <bottom style="thin">
          <color rgb="FFDAE2DC"/>
        </bottom>
      </border>
    </dxf>
    <dxf>
      <border outline="0">
        <top style="thin">
          <color rgb="FFDAE2DC"/>
        </top>
      </border>
    </dxf>
    <dxf>
      <border outline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border outline="0"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125334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DAE2DC"/>
        </left>
        <right style="thin">
          <color rgb="FFDAE2DC"/>
        </right>
        <top/>
        <bottom/>
      </border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/>
        <top style="thin">
          <color rgb="FFDAE2DC"/>
        </top>
        <bottom style="thin">
          <color rgb="FFDAE2DC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EBF4ED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DAE2DC"/>
        </right>
        <top style="thin">
          <color rgb="FFDAE2DC"/>
        </top>
        <bottom style="thin">
          <color rgb="FFDAE2DC"/>
        </bottom>
        <vertical/>
        <horizontal/>
      </border>
    </dxf>
    <dxf>
      <border outline="0">
        <top style="thin">
          <color rgb="FFDAE2DC"/>
        </top>
      </border>
    </dxf>
    <dxf>
      <border outline="0">
        <left style="thin">
          <color rgb="FFDAE2DC"/>
        </left>
        <right style="thin">
          <color rgb="FFDAE2DC"/>
        </right>
        <top style="thin">
          <color rgb="FFDAE2DC"/>
        </top>
        <bottom style="thin">
          <color rgb="FFDAE2DC"/>
        </bottom>
      </border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border outline="0">
        <bottom style="thin">
          <color rgb="FFDAE2D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125334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DAE2DC"/>
        </left>
        <right style="thin">
          <color rgb="FFDAE2D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Avance de ejecución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'Guía y resumen'!$E$16</c:f>
              <c:strCache>
                <c:ptCount val="1"/>
                <c:pt idx="0">
                  <c:v>Cantidad</c:v>
                </c:pt>
              </c:strCache>
            </c:strRef>
          </c:tx>
          <c:invertIfNegative val="0"/>
          <c:cat>
            <c:strRef>
              <c:f>'Guía y resumen'!$D$17:$D$21</c:f>
              <c:strCache>
                <c:ptCount val="5"/>
                <c:pt idx="0">
                  <c:v>No ejecutado</c:v>
                </c:pt>
                <c:pt idx="1">
                  <c:v>Aprobado</c:v>
                </c:pt>
                <c:pt idx="2">
                  <c:v>Falló</c:v>
                </c:pt>
                <c:pt idx="3">
                  <c:v>Bloqueado</c:v>
                </c:pt>
                <c:pt idx="4">
                  <c:v>No aplica</c:v>
                </c:pt>
              </c:strCache>
            </c:strRef>
          </c:cat>
          <c:val>
            <c:numRef>
              <c:f>'Guía y resumen'!$E$17:$E$21</c:f>
              <c:numCache>
                <c:formatCode>General</c:formatCode>
                <c:ptCount val="5"/>
                <c:pt idx="0">
                  <c:v>70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63-47DF-B617-07934389FF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4983040"/>
        <c:axId val="849103152"/>
      </c:barChart>
      <c:catAx>
        <c:axId val="894983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849103152"/>
        <c:crosses val="autoZero"/>
        <c:auto val="1"/>
        <c:lblAlgn val="ctr"/>
        <c:lblOffset val="100"/>
        <c:noMultiLvlLbl val="0"/>
      </c:catAx>
      <c:valAx>
        <c:axId val="8491031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894983040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584200</xdr:colOff>
      <xdr:row>14</xdr:row>
      <xdr:rowOff>154940</xdr:rowOff>
    </xdr:from>
    <xdr:to>
      <xdr:col>18</xdr:col>
      <xdr:colOff>457200</xdr:colOff>
      <xdr:row>33</xdr:row>
      <xdr:rowOff>109220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601A04-55E5-D2B1-5F79-B347462114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9701DA-A994-4DF4-A3CD-E7EB817E4E8C}" name="CasosAcceso" displayName="CasosAcceso" ref="A1:N11" totalsRowShown="0" headerRowDxfId="131" dataDxfId="129" headerRowBorderDxfId="130" tableBorderDxfId="128" totalsRowBorderDxfId="127">
  <autoFilter ref="A1:N11" xr:uid="{649701DA-A994-4DF4-A3CD-E7EB817E4E8C}"/>
  <tableColumns count="14">
    <tableColumn id="1" xr3:uid="{74B44215-1B17-48B5-848D-5F7B19AD8174}" name="ID" dataDxfId="126"/>
    <tableColumn id="2" xr3:uid="{2A28FD01-8108-4457-8E88-F260CB7EC873}" name="Prioridad" dataDxfId="125"/>
    <tableColumn id="3" xr3:uid="{773B5C0E-FC31-4A5B-9A78-EA699E79176F}" name="Tipo" dataDxfId="124"/>
    <tableColumn id="4" xr3:uid="{C9C4B0A8-2E19-48B4-9186-BECD0A0059CC}" name="Caso de prueba" dataDxfId="123"/>
    <tableColumn id="5" xr3:uid="{A654170F-8CC2-4AB7-BBFE-5B99728EF730}" name="Precondiciones" dataDxfId="122"/>
    <tableColumn id="6" xr3:uid="{FDFAEBB7-B72E-49A9-A913-ABCA845C647F}" name="Datos para usar" dataDxfId="121"/>
    <tableColumn id="7" xr3:uid="{C0C84290-C176-41D5-BAA4-9063FF3C543A}" name="Pasos" dataDxfId="120"/>
    <tableColumn id="8" xr3:uid="{67716637-7B49-4985-B5C8-D7EE2C22C36C}" name="Resultado esperado" dataDxfId="119"/>
    <tableColumn id="9" xr3:uid="{E6D52935-F63F-4EBA-8AAD-36A48E230F40}" name="Riesgo cubierto" dataDxfId="118"/>
    <tableColumn id="10" xr3:uid="{FCBCC100-3B3C-46E2-94D6-CABF69255B81}" name="Estado" dataDxfId="117"/>
    <tableColumn id="11" xr3:uid="{98EEF8A1-EB3F-42FB-8C5B-257536C4E301}" name="Resultado real" dataDxfId="116"/>
    <tableColumn id="12" xr3:uid="{8D47600A-708C-4844-BD99-E8EFA3F808AB}" name="Comentarios" dataDxfId="115"/>
    <tableColumn id="13" xr3:uid="{98D5246B-0690-4661-A892-FAC922536AEF}" name="Fecha" dataDxfId="114"/>
    <tableColumn id="14" xr3:uid="{9FC05639-E1F1-4AC7-BB82-6233CC36BFE8}" name="Probado por" dataDxfId="11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0BD271-73EE-4762-A06B-6AE90E2E9FA5}" name="CasosRemates" displayName="CasosRemates" ref="A1:N22" totalsRowShown="0" headerRowDxfId="112" dataDxfId="110" headerRowBorderDxfId="111" tableBorderDxfId="109" totalsRowBorderDxfId="108">
  <autoFilter ref="A1:N22" xr:uid="{440BD271-73EE-4762-A06B-6AE90E2E9FA5}"/>
  <tableColumns count="14">
    <tableColumn id="1" xr3:uid="{A75D96F1-4B82-4770-82D5-F9793CA2E7E7}" name="ID" dataDxfId="107"/>
    <tableColumn id="2" xr3:uid="{5F68D069-DD51-4C00-A4E5-0BFCB647CAFE}" name="Prioridad" dataDxfId="106"/>
    <tableColumn id="3" xr3:uid="{05102566-60BA-436E-B865-720748451D71}" name="Tipo" dataDxfId="105"/>
    <tableColumn id="4" xr3:uid="{B6E70351-59F6-48CA-89EE-9AB2E6596A77}" name="Caso de prueba" dataDxfId="104"/>
    <tableColumn id="5" xr3:uid="{51D6ADEB-04B0-464C-A3AF-4614BC52B5EA}" name="Precondiciones" dataDxfId="103"/>
    <tableColumn id="6" xr3:uid="{84BD56F0-4DB3-4B02-8781-3AC44EDFDADD}" name="Datos para usar" dataDxfId="102"/>
    <tableColumn id="7" xr3:uid="{CCE909E8-AB1D-4F2F-8A67-C16927FE683D}" name="Pasos" dataDxfId="101"/>
    <tableColumn id="8" xr3:uid="{090CB6D2-DF97-40E6-97D0-3DD640795678}" name="Resultado esperado" dataDxfId="100"/>
    <tableColumn id="9" xr3:uid="{E4411F86-D57E-407D-A5DB-96BB87A2AEAB}" name="Riesgo cubierto" dataDxfId="99"/>
    <tableColumn id="10" xr3:uid="{B76E42E4-52B1-4566-845E-FD91201B4456}" name="Estado" dataDxfId="98"/>
    <tableColumn id="11" xr3:uid="{4E504E78-2B64-4E12-9787-369C043FDA79}" name="Resultado real" dataDxfId="97"/>
    <tableColumn id="12" xr3:uid="{D8EC7DB9-6744-4756-B8FF-F8602B83986C}" name="Comentarios" dataDxfId="96"/>
    <tableColumn id="13" xr3:uid="{21F11D5A-D679-49AE-955D-C025BBEF6475}" name="Fecha" dataDxfId="95"/>
    <tableColumn id="14" xr3:uid="{98222333-1784-449E-A589-0884BB1C1A55}" name="Probado por" dataDxfId="94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CEAF2C-DC81-4F45-A3BC-23E12C368EAB}" name="CasosCatalogo" displayName="CasosCatalogo" ref="A1:N8" totalsRowShown="0" headerRowDxfId="93" dataDxfId="91" headerRowBorderDxfId="92" tableBorderDxfId="90" totalsRowBorderDxfId="89">
  <autoFilter ref="A1:N8" xr:uid="{39CEAF2C-DC81-4F45-A3BC-23E12C368EAB}"/>
  <tableColumns count="14">
    <tableColumn id="1" xr3:uid="{AC9E48B9-A25C-4915-B231-062970580C89}" name="ID" dataDxfId="88"/>
    <tableColumn id="2" xr3:uid="{0CC182B0-AFFA-4DEA-B08B-5DC7F00F0690}" name="Prioridad" dataDxfId="87"/>
    <tableColumn id="3" xr3:uid="{C2C77E49-0480-4689-A180-23C1E6AF10D1}" name="Tipo" dataDxfId="86"/>
    <tableColumn id="4" xr3:uid="{4AAA8E3B-7D4E-4371-9451-52B914CD1977}" name="Caso de prueba" dataDxfId="85"/>
    <tableColumn id="5" xr3:uid="{1E54874A-E17D-469F-9504-9F76001E4EE2}" name="Precondiciones" dataDxfId="84"/>
    <tableColumn id="6" xr3:uid="{DCAB85EC-0392-4544-873B-E30CC76B419E}" name="Datos para usar" dataDxfId="83"/>
    <tableColumn id="7" xr3:uid="{7AA96E5A-545D-46A0-B116-FCBED1FB89EF}" name="Pasos" dataDxfId="82"/>
    <tableColumn id="8" xr3:uid="{38262075-F10D-428A-9D46-2EAC158297A3}" name="Resultado esperado" dataDxfId="81"/>
    <tableColumn id="9" xr3:uid="{9EF38740-E7FD-4FAD-8B52-D49795B4AA6A}" name="Riesgo cubierto" dataDxfId="80"/>
    <tableColumn id="10" xr3:uid="{956D99AC-FB37-444B-9A7E-76E17F1A59BE}" name="Estado" dataDxfId="79"/>
    <tableColumn id="11" xr3:uid="{1F819A50-491E-48F6-8393-AA8AD862F27F}" name="Resultado real" dataDxfId="78"/>
    <tableColumn id="12" xr3:uid="{A8FBABDD-7A36-45A4-8EBC-FDC2A3CF5AFA}" name="Comentarios" dataDxfId="77"/>
    <tableColumn id="13" xr3:uid="{30E01C9E-5713-42F7-AE6C-D221CFB49CD2}" name="Fecha" dataDxfId="76"/>
    <tableColumn id="14" xr3:uid="{D533C07A-2A6C-4B60-8B8C-21C72F79AC56}" name="Probado por" dataDxfId="75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9F8FBAB-2BD4-4396-933E-F63A02E834C8}" name="CasosWeb" displayName="CasosWeb" ref="A1:N11" totalsRowShown="0" headerRowDxfId="74" dataDxfId="72" headerRowBorderDxfId="73" tableBorderDxfId="71" totalsRowBorderDxfId="70">
  <autoFilter ref="A1:N11" xr:uid="{39F8FBAB-2BD4-4396-933E-F63A02E834C8}"/>
  <tableColumns count="14">
    <tableColumn id="1" xr3:uid="{1077F3D1-B353-4550-8BE3-59ABE017D26D}" name="ID" dataDxfId="69"/>
    <tableColumn id="2" xr3:uid="{191CADAF-C6F7-4D72-A449-174640FD1E7D}" name="Prioridad" dataDxfId="68"/>
    <tableColumn id="3" xr3:uid="{ACA7E87E-7E0C-4CDD-A5B6-1FC8101B789A}" name="Tipo" dataDxfId="67"/>
    <tableColumn id="4" xr3:uid="{4B07138B-6D15-4114-8757-8B02B75C691B}" name="Caso de prueba" dataDxfId="66"/>
    <tableColumn id="5" xr3:uid="{1E67C3DA-BEF0-4C6D-8A19-9FD49DD3465D}" name="Precondiciones" dataDxfId="65"/>
    <tableColumn id="6" xr3:uid="{6A6EE514-F271-4345-8516-F9FC2757142D}" name="Datos para usar" dataDxfId="64"/>
    <tableColumn id="7" xr3:uid="{AF6F0AD8-CC65-4849-9B31-E7959F723F51}" name="Pasos" dataDxfId="63"/>
    <tableColumn id="8" xr3:uid="{63AA9FA5-0E22-41B4-BB39-B9EE909BDCD7}" name="Resultado esperado" dataDxfId="62"/>
    <tableColumn id="9" xr3:uid="{4BD1EF70-E405-48F1-8085-D0F81E56722F}" name="Riesgo cubierto" dataDxfId="61"/>
    <tableColumn id="10" xr3:uid="{DE64DD18-1072-4795-A92E-7F3CC0D367CD}" name="Estado" dataDxfId="60"/>
    <tableColumn id="11" xr3:uid="{A69A1545-639E-48D2-8DB8-D9ADB057CB36}" name="Resultado real" dataDxfId="59"/>
    <tableColumn id="12" xr3:uid="{2ABD629D-530F-4AE0-85CE-894B043F8C0A}" name="Comentarios" dataDxfId="58"/>
    <tableColumn id="13" xr3:uid="{F8059EB4-1D39-496D-B6A0-F4505EB1DEB5}" name="Fecha" dataDxfId="57"/>
    <tableColumn id="14" xr3:uid="{A3305451-2137-45CF-9ADB-CAFA1717E023}" name="Probado por" dataDxfId="56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D42445-ABEA-4C9E-8E4B-49053CA2E09E}" name="CasosContenido" displayName="CasosContenido" ref="A1:N12" totalsRowShown="0" headerRowDxfId="55" dataDxfId="53" headerRowBorderDxfId="54" tableBorderDxfId="52" totalsRowBorderDxfId="51">
  <autoFilter ref="A1:N12" xr:uid="{BDD42445-ABEA-4C9E-8E4B-49053CA2E09E}"/>
  <tableColumns count="14">
    <tableColumn id="1" xr3:uid="{4C409E10-9CC5-4D04-A049-8F4B192B0836}" name="ID" dataDxfId="50"/>
    <tableColumn id="2" xr3:uid="{607B1204-06D1-49A9-B940-DA9BA66CBA09}" name="Prioridad" dataDxfId="49"/>
    <tableColumn id="3" xr3:uid="{1F6CF3CF-F039-435A-8F90-95F6413D2CDF}" name="Tipo" dataDxfId="48"/>
    <tableColumn id="4" xr3:uid="{CB3604EF-126A-4AB0-93C2-469733ED325A}" name="Caso de prueba" dataDxfId="47"/>
    <tableColumn id="5" xr3:uid="{86B10B2B-0FF9-424E-8927-EF02136352A6}" name="Precondiciones" dataDxfId="46"/>
    <tableColumn id="6" xr3:uid="{66797B37-73D3-4EE0-AD96-088463DE3524}" name="Datos para usar" dataDxfId="45"/>
    <tableColumn id="7" xr3:uid="{8173C47B-FA86-47C0-97FD-3A1CE294E25F}" name="Pasos" dataDxfId="44"/>
    <tableColumn id="8" xr3:uid="{49927DCA-64A9-464D-8CEC-3E15FCD73AE4}" name="Resultado esperado" dataDxfId="43"/>
    <tableColumn id="9" xr3:uid="{D7E1FB83-C1A7-470A-8D9A-72FE872F4A13}" name="Riesgo cubierto" dataDxfId="42"/>
    <tableColumn id="10" xr3:uid="{EC018BE1-EA7D-4718-9138-4A3CA605604A}" name="Estado" dataDxfId="41"/>
    <tableColumn id="11" xr3:uid="{8AB0932F-288C-4D7F-99BA-C9EA19781CD9}" name="Resultado real" dataDxfId="40"/>
    <tableColumn id="12" xr3:uid="{F3598D12-A72E-4970-968F-AD5F60DE5496}" name="Comentarios" dataDxfId="39"/>
    <tableColumn id="13" xr3:uid="{59E330CD-1E9B-4D32-B18C-8A3270F42787}" name="Fecha" dataDxfId="38"/>
    <tableColumn id="14" xr3:uid="{3BE0E58B-0122-4879-A3DA-8C36359D503F}" name="Probado por" dataDxfId="37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0EFA94-CC42-4405-89FB-4E396ABD9EB1}" name="CasosMobile" displayName="CasosMobile" ref="A1:N12" totalsRowShown="0" headerRowDxfId="36" dataDxfId="34" headerRowBorderDxfId="35" tableBorderDxfId="33" totalsRowBorderDxfId="32">
  <autoFilter ref="A1:N12" xr:uid="{230EFA94-CC42-4405-89FB-4E396ABD9EB1}"/>
  <tableColumns count="14">
    <tableColumn id="1" xr3:uid="{8A4CB92E-9FC2-4359-9E8A-0E83A7F54377}" name="ID" dataDxfId="31"/>
    <tableColumn id="2" xr3:uid="{F3D77830-B629-45DB-9E91-30A3C5D2B883}" name="Prioridad" dataDxfId="30"/>
    <tableColumn id="3" xr3:uid="{F1FED0AE-E94D-472C-952E-BE1FC710D786}" name="Tipo" dataDxfId="29"/>
    <tableColumn id="4" xr3:uid="{40AC0CED-5A1B-4A2A-9EDC-405584E82A45}" name="Caso de prueba" dataDxfId="28"/>
    <tableColumn id="5" xr3:uid="{BC2F3D70-AD3F-4A88-B577-1E9612A84FD3}" name="Precondiciones" dataDxfId="27"/>
    <tableColumn id="6" xr3:uid="{6B4A7E36-DE85-44E2-BA77-E4F18B36EE48}" name="Datos para usar" dataDxfId="26"/>
    <tableColumn id="7" xr3:uid="{F83D6E5B-C5D5-4B8F-AD31-92E4022EADB8}" name="Pasos" dataDxfId="25"/>
    <tableColumn id="8" xr3:uid="{C7FB428F-B1C2-4710-B358-1B3CD3469A93}" name="Resultado esperado" dataDxfId="24"/>
    <tableColumn id="9" xr3:uid="{6F6D5D77-5060-419D-83A1-9E26067BBD66}" name="Riesgo cubierto" dataDxfId="23"/>
    <tableColumn id="10" xr3:uid="{59ECB02F-07EA-4AE0-B5E7-920DFD91ABFF}" name="Estado" dataDxfId="22"/>
    <tableColumn id="11" xr3:uid="{22D91C16-EE44-41DD-A160-9DB417D19DE6}" name="Resultado real" dataDxfId="21"/>
    <tableColumn id="12" xr3:uid="{BE50F6D9-205F-4AC4-8597-1C0F7DD3F0ED}" name="Comentarios" dataDxfId="20"/>
    <tableColumn id="13" xr3:uid="{164D55E2-0F96-42E2-83B0-3BCFC4B9AB45}" name="Fecha" dataDxfId="19"/>
    <tableColumn id="14" xr3:uid="{15B26BA5-73E1-4E78-B52B-BA6DA59EDEF3}" name="Probado por" dataDxfId="18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4FA4C07-6554-4B72-9339-44C16660682F}" name="DatosRemates" displayName="DatosRemates" ref="A3:E21" totalsRowShown="0" headerRowDxfId="141" dataDxfId="139" headerRowBorderDxfId="140" tableBorderDxfId="138" totalsRowBorderDxfId="137">
  <autoFilter ref="A3:E21" xr:uid="{84FA4C07-6554-4B72-9339-44C16660682F}"/>
  <tableColumns count="5">
    <tableColumn id="1" xr3:uid="{D4A25351-23A7-406A-A4AE-2314643E854A}" name="Campo" dataDxfId="136"/>
    <tableColumn id="2" xr3:uid="{63FB67BA-6858-435F-996F-9AC1FB21A88B}" name="Caso base" dataDxfId="135"/>
    <tableColumn id="3" xr3:uid="{E7997486-4B68-4A54-8DC8-EF0778B8B101}" name="Segundo caso" dataDxfId="134"/>
    <tableColumn id="4" xr3:uid="{DCDE5E17-967C-4D04-95D0-0187A7263701}" name="Caso extremo" dataDxfId="133"/>
    <tableColumn id="5" xr3:uid="{1E002663-69E5-4620-9EB6-D37E99CE7572}" name="Notas" dataDxfId="13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DFB42-339E-455A-A390-AFE726858C8D}">
  <dimension ref="A1:H29"/>
  <sheetViews>
    <sheetView showGridLines="0" workbookViewId="0">
      <selection sqref="A1:H1"/>
    </sheetView>
  </sheetViews>
  <sheetFormatPr defaultRowHeight="14.4" x14ac:dyDescent="0.3"/>
  <cols>
    <col min="1" max="1" width="27.77734375" customWidth="1"/>
    <col min="2" max="2" width="34.77734375" customWidth="1"/>
    <col min="3" max="3" width="3.77734375" customWidth="1"/>
    <col min="4" max="4" width="24.77734375" customWidth="1"/>
    <col min="5" max="5" width="15.77734375" customWidth="1"/>
    <col min="6" max="8" width="14.77734375" customWidth="1"/>
  </cols>
  <sheetData>
    <row r="1" spans="1:8" ht="42" customHeight="1" x14ac:dyDescent="0.3">
      <c r="A1" s="28" t="s">
        <v>546</v>
      </c>
      <c r="B1" s="28"/>
      <c r="C1" s="28"/>
      <c r="D1" s="28"/>
      <c r="E1" s="28"/>
      <c r="F1" s="28"/>
      <c r="G1" s="28"/>
      <c r="H1" s="28"/>
    </row>
    <row r="2" spans="1:8" x14ac:dyDescent="0.3">
      <c r="A2" s="23"/>
      <c r="B2" s="23"/>
      <c r="C2" s="23"/>
      <c r="D2" s="23"/>
      <c r="E2" s="23"/>
      <c r="F2" s="23"/>
      <c r="G2" s="23"/>
      <c r="H2" s="23"/>
    </row>
    <row r="3" spans="1:8" ht="18" x14ac:dyDescent="0.3">
      <c r="A3" s="29" t="s">
        <v>547</v>
      </c>
      <c r="B3" s="29"/>
      <c r="C3" s="29"/>
      <c r="D3" s="29"/>
      <c r="E3" s="29"/>
      <c r="F3" s="29"/>
      <c r="G3" s="29"/>
      <c r="H3" s="29"/>
    </row>
    <row r="4" spans="1:8" x14ac:dyDescent="0.3">
      <c r="A4" s="30" t="s">
        <v>548</v>
      </c>
      <c r="B4" s="30"/>
      <c r="C4" s="30"/>
      <c r="D4" s="30"/>
      <c r="E4" s="30"/>
      <c r="F4" s="30"/>
      <c r="G4" s="30"/>
      <c r="H4" s="30"/>
    </row>
    <row r="5" spans="1:8" x14ac:dyDescent="0.3">
      <c r="A5" s="30"/>
      <c r="B5" s="30"/>
      <c r="C5" s="30"/>
      <c r="D5" s="30"/>
      <c r="E5" s="30"/>
      <c r="F5" s="30"/>
      <c r="G5" s="30"/>
      <c r="H5" s="30"/>
    </row>
    <row r="6" spans="1:8" x14ac:dyDescent="0.3">
      <c r="A6" s="30"/>
      <c r="B6" s="30"/>
      <c r="C6" s="30"/>
      <c r="D6" s="30"/>
      <c r="E6" s="30"/>
      <c r="F6" s="30"/>
      <c r="G6" s="30"/>
      <c r="H6" s="30"/>
    </row>
    <row r="7" spans="1:8" x14ac:dyDescent="0.3">
      <c r="A7" s="30"/>
      <c r="B7" s="30"/>
      <c r="C7" s="30"/>
      <c r="D7" s="30"/>
      <c r="E7" s="30"/>
      <c r="F7" s="30"/>
      <c r="G7" s="30"/>
      <c r="H7" s="30"/>
    </row>
    <row r="8" spans="1:8" x14ac:dyDescent="0.3">
      <c r="A8" s="23"/>
      <c r="B8" s="23"/>
      <c r="C8" s="23"/>
      <c r="D8" s="23"/>
      <c r="E8" s="23"/>
      <c r="F8" s="23"/>
      <c r="G8" s="23"/>
      <c r="H8" s="23"/>
    </row>
    <row r="9" spans="1:8" x14ac:dyDescent="0.3">
      <c r="A9" s="24" t="s">
        <v>549</v>
      </c>
      <c r="B9" s="24" t="s">
        <v>550</v>
      </c>
      <c r="C9" s="23"/>
      <c r="D9" s="24" t="s">
        <v>559</v>
      </c>
      <c r="E9" s="24" t="s">
        <v>560</v>
      </c>
      <c r="F9" s="23"/>
      <c r="G9" s="23"/>
      <c r="H9" s="23"/>
    </row>
    <row r="10" spans="1:8" x14ac:dyDescent="0.3">
      <c r="A10" s="25" t="s">
        <v>551</v>
      </c>
      <c r="B10" s="25" t="s">
        <v>552</v>
      </c>
      <c r="C10" s="23"/>
      <c r="D10" s="25" t="s">
        <v>561</v>
      </c>
      <c r="E10" s="25">
        <v>68</v>
      </c>
      <c r="F10" s="23"/>
      <c r="G10" s="23"/>
      <c r="H10" s="23"/>
    </row>
    <row r="11" spans="1:8" x14ac:dyDescent="0.3">
      <c r="A11" s="25" t="s">
        <v>553</v>
      </c>
      <c r="B11" s="25" t="s">
        <v>554</v>
      </c>
      <c r="C11" s="23"/>
      <c r="D11" s="25" t="s">
        <v>562</v>
      </c>
      <c r="E11" s="25">
        <f>COUNTIF('Acceso y sesión'!J:J,"No ejecutado")+COUNTIF('Gestión de remates'!J:J,"No ejecutado")+COUNTIF('Catálogo y lotes'!J:J,"No ejecutado")+COUNTIF('Web pública'!J:J,"No ejecutado")+COUNTIF('Contenido y contacto'!J:J,"No ejecutado")+COUNTIF('Mobile y accesibilidad'!J:J,"No ejecutado")</f>
        <v>70</v>
      </c>
      <c r="F11" s="23"/>
      <c r="G11" s="23"/>
      <c r="H11" s="23"/>
    </row>
    <row r="12" spans="1:8" x14ac:dyDescent="0.3">
      <c r="A12" s="25" t="s">
        <v>555</v>
      </c>
      <c r="B12" s="25" t="s">
        <v>556</v>
      </c>
      <c r="C12" s="23"/>
      <c r="D12" s="25" t="s">
        <v>563</v>
      </c>
      <c r="E12" s="25">
        <f>COUNTIF('Acceso y sesión'!J:J,"Aprobado")+COUNTIF('Gestión de remates'!J:J,"Aprobado")+COUNTIF('Catálogo y lotes'!J:J,"Aprobado")+COUNTIF('Web pública'!J:J,"Aprobado")+COUNTIF('Contenido y contacto'!J:J,"Aprobado")+COUNTIF('Mobile y accesibilidad'!J:J,"Aprobado")</f>
        <v>0</v>
      </c>
      <c r="F12" s="23"/>
      <c r="G12" s="23"/>
      <c r="H12" s="23"/>
    </row>
    <row r="13" spans="1:8" x14ac:dyDescent="0.3">
      <c r="A13" s="25" t="s">
        <v>557</v>
      </c>
      <c r="B13" s="25" t="s">
        <v>558</v>
      </c>
      <c r="C13" s="23"/>
      <c r="D13" s="25" t="s">
        <v>564</v>
      </c>
      <c r="E13" s="25">
        <f>COUNTIF('Acceso y sesión'!J:J,"Falló")+COUNTIF('Gestión de remates'!J:J,"Falló")+COUNTIF('Catálogo y lotes'!J:J,"Falló")+COUNTIF('Web pública'!J:J,"Falló")+COUNTIF('Contenido y contacto'!J:J,"Falló")+COUNTIF('Mobile y accesibilidad'!J:J,"Falló")</f>
        <v>0</v>
      </c>
      <c r="F13" s="23"/>
      <c r="G13" s="23"/>
      <c r="H13" s="23"/>
    </row>
    <row r="14" spans="1:8" x14ac:dyDescent="0.3">
      <c r="A14" s="23"/>
      <c r="B14" s="23"/>
      <c r="C14" s="23"/>
      <c r="D14" s="25" t="s">
        <v>565</v>
      </c>
      <c r="E14" s="25">
        <f>COUNTIF('Acceso y sesión'!J:J,"Bloqueado")+COUNTIF('Gestión de remates'!J:J,"Bloqueado")+COUNTIF('Catálogo y lotes'!J:J,"Bloqueado")+COUNTIF('Web pública'!J:J,"Bloqueado")+COUNTIF('Contenido y contacto'!J:J,"Bloqueado")+COUNTIF('Mobile y accesibilidad'!J:J,"Bloqueado")</f>
        <v>0</v>
      </c>
      <c r="F14" s="23"/>
      <c r="G14" s="23"/>
      <c r="H14" s="23"/>
    </row>
    <row r="15" spans="1:8" x14ac:dyDescent="0.3">
      <c r="A15" s="23"/>
      <c r="B15" s="23"/>
      <c r="C15" s="23"/>
      <c r="D15" s="23"/>
      <c r="E15" s="23"/>
      <c r="F15" s="23"/>
      <c r="G15" s="23"/>
      <c r="H15" s="23"/>
    </row>
    <row r="16" spans="1:8" x14ac:dyDescent="0.3">
      <c r="A16" s="24" t="s">
        <v>566</v>
      </c>
      <c r="B16" s="24" t="s">
        <v>567</v>
      </c>
      <c r="C16" s="23"/>
      <c r="D16" s="24" t="s">
        <v>9</v>
      </c>
      <c r="E16" s="24" t="s">
        <v>560</v>
      </c>
      <c r="F16" s="23"/>
      <c r="G16" s="23"/>
      <c r="H16" s="23"/>
    </row>
    <row r="17" spans="1:8" x14ac:dyDescent="0.3">
      <c r="A17" s="25" t="s">
        <v>568</v>
      </c>
      <c r="B17" s="25">
        <v>7</v>
      </c>
      <c r="C17" s="23"/>
      <c r="D17" s="25" t="s">
        <v>23</v>
      </c>
      <c r="E17" s="25">
        <f>COUNTIF('Acceso y sesión'!J:J,"No ejecutado")+COUNTIF('Gestión de remates'!J:J,"No ejecutado")+COUNTIF('Catálogo y lotes'!J:J,"No ejecutado")+COUNTIF('Web pública'!J:J,"No ejecutado")+COUNTIF('Contenido y contacto'!J:J,"No ejecutado")+COUNTIF('Mobile y accesibilidad'!J:J,"No ejecutado")</f>
        <v>70</v>
      </c>
      <c r="F17" s="23"/>
      <c r="G17" s="23"/>
      <c r="H17" s="23"/>
    </row>
    <row r="18" spans="1:8" x14ac:dyDescent="0.3">
      <c r="A18" s="25" t="s">
        <v>569</v>
      </c>
      <c r="B18" s="25">
        <v>18</v>
      </c>
      <c r="C18" s="23"/>
      <c r="D18" s="25" t="s">
        <v>575</v>
      </c>
      <c r="E18" s="25">
        <f>COUNTIF('Acceso y sesión'!J:J,"Aprobado")+COUNTIF('Gestión de remates'!J:J,"Aprobado")+COUNTIF('Catálogo y lotes'!J:J,"Aprobado")+COUNTIF('Web pública'!J:J,"Aprobado")+COUNTIF('Contenido y contacto'!J:J,"Aprobado")+COUNTIF('Mobile y accesibilidad'!J:J,"Aprobado")</f>
        <v>0</v>
      </c>
      <c r="F18" s="23"/>
      <c r="G18" s="23"/>
      <c r="H18" s="23"/>
    </row>
    <row r="19" spans="1:8" x14ac:dyDescent="0.3">
      <c r="A19" s="25" t="s">
        <v>570</v>
      </c>
      <c r="B19" s="25">
        <v>12</v>
      </c>
      <c r="C19" s="23"/>
      <c r="D19" s="25" t="s">
        <v>576</v>
      </c>
      <c r="E19" s="25">
        <f>COUNTIF('Acceso y sesión'!J:J,"Falló")+COUNTIF('Gestión de remates'!J:J,"Falló")+COUNTIF('Catálogo y lotes'!J:J,"Falló")+COUNTIF('Web pública'!J:J,"Falló")+COUNTIF('Contenido y contacto'!J:J,"Falló")+COUNTIF('Mobile y accesibilidad'!J:J,"Falló")</f>
        <v>0</v>
      </c>
      <c r="F19" s="23"/>
      <c r="G19" s="23"/>
      <c r="H19" s="23"/>
    </row>
    <row r="20" spans="1:8" x14ac:dyDescent="0.3">
      <c r="A20" s="25" t="s">
        <v>571</v>
      </c>
      <c r="B20" s="25">
        <v>10</v>
      </c>
      <c r="C20" s="23"/>
      <c r="D20" s="25" t="s">
        <v>577</v>
      </c>
      <c r="E20" s="25">
        <f>COUNTIF('Acceso y sesión'!J:J,"Bloqueado")+COUNTIF('Gestión de remates'!J:J,"Bloqueado")+COUNTIF('Catálogo y lotes'!J:J,"Bloqueado")+COUNTIF('Web pública'!J:J,"Bloqueado")+COUNTIF('Contenido y contacto'!J:J,"Bloqueado")+COUNTIF('Mobile y accesibilidad'!J:J,"Bloqueado")</f>
        <v>0</v>
      </c>
      <c r="F20" s="23"/>
      <c r="G20" s="23"/>
      <c r="H20" s="23"/>
    </row>
    <row r="21" spans="1:8" x14ac:dyDescent="0.3">
      <c r="A21" s="25" t="s">
        <v>572</v>
      </c>
      <c r="B21" s="25">
        <v>11</v>
      </c>
      <c r="C21" s="23"/>
      <c r="D21" s="25" t="s">
        <v>578</v>
      </c>
      <c r="E21" s="25">
        <f>COUNTIF('Acceso y sesión'!J:J,"No aplica")+COUNTIF('Gestión de remates'!J:J,"No aplica")+COUNTIF('Catálogo y lotes'!J:J,"No aplica")+COUNTIF('Web pública'!J:J,"No aplica")+COUNTIF('Contenido y contacto'!J:J,"No aplica")+COUNTIF('Mobile y accesibilidad'!J:J,"No aplica")</f>
        <v>0</v>
      </c>
      <c r="F21" s="23"/>
      <c r="G21" s="23"/>
      <c r="H21" s="23"/>
    </row>
    <row r="22" spans="1:8" x14ac:dyDescent="0.3">
      <c r="A22" s="25" t="s">
        <v>573</v>
      </c>
      <c r="B22" s="25">
        <v>10</v>
      </c>
      <c r="C22" s="23"/>
      <c r="D22" s="23"/>
      <c r="E22" s="23"/>
      <c r="F22" s="23"/>
      <c r="G22" s="23"/>
      <c r="H22" s="23"/>
    </row>
    <row r="23" spans="1:8" x14ac:dyDescent="0.3">
      <c r="A23" s="26" t="s">
        <v>574</v>
      </c>
      <c r="B23" s="26">
        <v>68</v>
      </c>
      <c r="C23" s="23"/>
      <c r="D23" s="23"/>
      <c r="E23" s="23"/>
      <c r="F23" s="23"/>
      <c r="G23" s="23"/>
      <c r="H23" s="23"/>
    </row>
    <row r="24" spans="1:8" x14ac:dyDescent="0.3">
      <c r="A24" s="23"/>
      <c r="B24" s="23"/>
      <c r="C24" s="23"/>
      <c r="D24" s="23"/>
      <c r="E24" s="23"/>
      <c r="F24" s="23"/>
      <c r="G24" s="23"/>
      <c r="H24" s="23"/>
    </row>
    <row r="25" spans="1:8" x14ac:dyDescent="0.3">
      <c r="A25" s="31" t="s">
        <v>579</v>
      </c>
      <c r="B25" s="31"/>
      <c r="C25" s="31"/>
      <c r="D25" s="31"/>
      <c r="E25" s="31"/>
      <c r="F25" s="31"/>
      <c r="G25" s="31"/>
      <c r="H25" s="31"/>
    </row>
    <row r="26" spans="1:8" x14ac:dyDescent="0.3">
      <c r="A26" s="30" t="s">
        <v>580</v>
      </c>
      <c r="B26" s="30"/>
      <c r="C26" s="30"/>
      <c r="D26" s="30"/>
      <c r="E26" s="30"/>
      <c r="F26" s="30"/>
      <c r="G26" s="30"/>
      <c r="H26" s="30"/>
    </row>
    <row r="27" spans="1:8" x14ac:dyDescent="0.3">
      <c r="A27" s="30"/>
      <c r="B27" s="30"/>
      <c r="C27" s="30"/>
      <c r="D27" s="30"/>
      <c r="E27" s="30"/>
      <c r="F27" s="30"/>
      <c r="G27" s="30"/>
      <c r="H27" s="30"/>
    </row>
    <row r="28" spans="1:8" x14ac:dyDescent="0.3">
      <c r="A28" s="30"/>
      <c r="B28" s="30"/>
      <c r="C28" s="30"/>
      <c r="D28" s="30"/>
      <c r="E28" s="30"/>
      <c r="F28" s="30"/>
      <c r="G28" s="30"/>
      <c r="H28" s="30"/>
    </row>
    <row r="29" spans="1:8" x14ac:dyDescent="0.3">
      <c r="A29" s="30"/>
      <c r="B29" s="30"/>
      <c r="C29" s="30"/>
      <c r="D29" s="30"/>
      <c r="E29" s="30"/>
      <c r="F29" s="30"/>
      <c r="G29" s="30"/>
      <c r="H29" s="30"/>
    </row>
  </sheetData>
  <mergeCells count="5">
    <mergeCell ref="A1:H1"/>
    <mergeCell ref="A3:H3"/>
    <mergeCell ref="A4:H7"/>
    <mergeCell ref="A25:H25"/>
    <mergeCell ref="A26:H2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A45F-D39D-4ED6-B11B-F2FCBC3DF9A9}">
  <dimension ref="A1:N11"/>
  <sheetViews>
    <sheetView showGridLines="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/>
    </sheetView>
  </sheetViews>
  <sheetFormatPr defaultRowHeight="14.4" x14ac:dyDescent="0.3"/>
  <cols>
    <col min="1" max="1" width="13.77734375" customWidth="1"/>
    <col min="2" max="2" width="11.77734375" customWidth="1"/>
    <col min="3" max="3" width="14.77734375" customWidth="1"/>
    <col min="4" max="4" width="30.77734375" customWidth="1"/>
    <col min="5" max="5" width="28.77734375" customWidth="1"/>
    <col min="6" max="6" width="46.77734375" customWidth="1"/>
    <col min="7" max="7" width="48.77734375" customWidth="1"/>
    <col min="8" max="8" width="42.77734375" customWidth="1"/>
    <col min="9" max="9" width="32.77734375" customWidth="1"/>
    <col min="10" max="10" width="16.77734375" customWidth="1"/>
    <col min="11" max="12" width="34.77734375" customWidth="1"/>
    <col min="13" max="13" width="13.77734375" customWidth="1"/>
    <col min="14" max="14" width="18.77734375" customWidth="1"/>
  </cols>
  <sheetData>
    <row r="1" spans="1:14" ht="31.9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</row>
    <row r="2" spans="1:14" ht="96" customHeight="1" x14ac:dyDescent="0.3">
      <c r="A2" s="12" t="s">
        <v>14</v>
      </c>
      <c r="B2" s="10" t="s">
        <v>15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/>
      <c r="L2" s="1"/>
      <c r="M2" s="2"/>
      <c r="N2" s="3"/>
    </row>
    <row r="3" spans="1:14" ht="96" customHeight="1" x14ac:dyDescent="0.3">
      <c r="A3" s="12" t="s">
        <v>24</v>
      </c>
      <c r="B3" s="10" t="s">
        <v>15</v>
      </c>
      <c r="C3" s="1" t="s">
        <v>25</v>
      </c>
      <c r="D3" s="1" t="s">
        <v>26</v>
      </c>
      <c r="E3" s="1" t="s">
        <v>27</v>
      </c>
      <c r="F3" s="1" t="s">
        <v>28</v>
      </c>
      <c r="G3" s="1" t="s">
        <v>29</v>
      </c>
      <c r="H3" s="1" t="s">
        <v>30</v>
      </c>
      <c r="I3" s="1" t="s">
        <v>31</v>
      </c>
      <c r="J3" s="1" t="s">
        <v>23</v>
      </c>
      <c r="K3" s="1"/>
      <c r="L3" s="1"/>
      <c r="M3" s="2"/>
      <c r="N3" s="3"/>
    </row>
    <row r="4" spans="1:14" ht="96" customHeight="1" x14ac:dyDescent="0.3">
      <c r="A4" s="12" t="s">
        <v>32</v>
      </c>
      <c r="B4" s="10" t="s">
        <v>15</v>
      </c>
      <c r="C4" s="1" t="s">
        <v>25</v>
      </c>
      <c r="D4" s="1" t="s">
        <v>33</v>
      </c>
      <c r="E4" s="1" t="s">
        <v>27</v>
      </c>
      <c r="F4" s="1" t="s">
        <v>34</v>
      </c>
      <c r="G4" s="1" t="s">
        <v>29</v>
      </c>
      <c r="H4" s="1" t="s">
        <v>35</v>
      </c>
      <c r="I4" s="1" t="s">
        <v>36</v>
      </c>
      <c r="J4" s="1" t="s">
        <v>23</v>
      </c>
      <c r="K4" s="1"/>
      <c r="L4" s="1"/>
      <c r="M4" s="2"/>
      <c r="N4" s="3"/>
    </row>
    <row r="5" spans="1:14" ht="96" customHeight="1" x14ac:dyDescent="0.3">
      <c r="A5" s="12" t="s">
        <v>37</v>
      </c>
      <c r="B5" s="10" t="s">
        <v>38</v>
      </c>
      <c r="C5" s="1" t="s">
        <v>39</v>
      </c>
      <c r="D5" s="1" t="s">
        <v>40</v>
      </c>
      <c r="E5" s="1" t="s">
        <v>41</v>
      </c>
      <c r="F5" s="1" t="s">
        <v>42</v>
      </c>
      <c r="G5" s="1" t="s">
        <v>43</v>
      </c>
      <c r="H5" s="1" t="s">
        <v>44</v>
      </c>
      <c r="I5" s="1" t="s">
        <v>45</v>
      </c>
      <c r="J5" s="1" t="s">
        <v>23</v>
      </c>
      <c r="K5" s="1"/>
      <c r="L5" s="1"/>
      <c r="M5" s="2"/>
      <c r="N5" s="3"/>
    </row>
    <row r="6" spans="1:14" ht="96" customHeight="1" x14ac:dyDescent="0.3">
      <c r="A6" s="12" t="s">
        <v>46</v>
      </c>
      <c r="B6" s="10" t="s">
        <v>15</v>
      </c>
      <c r="C6" s="1" t="s">
        <v>47</v>
      </c>
      <c r="D6" s="1" t="s">
        <v>48</v>
      </c>
      <c r="E6" s="1" t="s">
        <v>49</v>
      </c>
      <c r="F6" s="1" t="s">
        <v>50</v>
      </c>
      <c r="G6" s="1" t="s">
        <v>51</v>
      </c>
      <c r="H6" s="1" t="s">
        <v>52</v>
      </c>
      <c r="I6" s="1" t="s">
        <v>53</v>
      </c>
      <c r="J6" s="1" t="s">
        <v>23</v>
      </c>
      <c r="K6" s="1"/>
      <c r="L6" s="1"/>
      <c r="M6" s="2"/>
      <c r="N6" s="3"/>
    </row>
    <row r="7" spans="1:14" ht="96" customHeight="1" x14ac:dyDescent="0.3">
      <c r="A7" s="12" t="s">
        <v>54</v>
      </c>
      <c r="B7" s="10" t="s">
        <v>15</v>
      </c>
      <c r="C7" s="1" t="s">
        <v>55</v>
      </c>
      <c r="D7" s="1" t="s">
        <v>56</v>
      </c>
      <c r="E7" s="1" t="s">
        <v>57</v>
      </c>
      <c r="F7" s="1" t="s">
        <v>50</v>
      </c>
      <c r="G7" s="1" t="s">
        <v>58</v>
      </c>
      <c r="H7" s="1" t="s">
        <v>59</v>
      </c>
      <c r="I7" s="1" t="s">
        <v>60</v>
      </c>
      <c r="J7" s="1" t="s">
        <v>23</v>
      </c>
      <c r="K7" s="1"/>
      <c r="L7" s="1"/>
      <c r="M7" s="2"/>
      <c r="N7" s="3"/>
    </row>
    <row r="8" spans="1:14" ht="96" customHeight="1" x14ac:dyDescent="0.3">
      <c r="A8" s="13" t="s">
        <v>61</v>
      </c>
      <c r="B8" s="11" t="s">
        <v>38</v>
      </c>
      <c r="C8" s="7" t="s">
        <v>62</v>
      </c>
      <c r="D8" s="7" t="s">
        <v>63</v>
      </c>
      <c r="E8" s="7" t="s">
        <v>64</v>
      </c>
      <c r="F8" s="7" t="s">
        <v>65</v>
      </c>
      <c r="G8" s="7" t="s">
        <v>66</v>
      </c>
      <c r="H8" s="7" t="s">
        <v>67</v>
      </c>
      <c r="I8" s="7" t="s">
        <v>68</v>
      </c>
      <c r="J8" s="7" t="s">
        <v>23</v>
      </c>
      <c r="K8" s="7"/>
      <c r="L8" s="7"/>
      <c r="M8" s="8"/>
      <c r="N8" s="9"/>
    </row>
    <row r="9" spans="1:14" ht="27.6" x14ac:dyDescent="0.3">
      <c r="A9" s="33" t="s">
        <v>594</v>
      </c>
      <c r="B9" s="34" t="s">
        <v>15</v>
      </c>
      <c r="C9" s="35" t="s">
        <v>595</v>
      </c>
      <c r="D9" s="36" t="s">
        <v>596</v>
      </c>
      <c r="E9" s="36" t="s">
        <v>41</v>
      </c>
      <c r="F9" s="36" t="s">
        <v>597</v>
      </c>
      <c r="G9" s="36" t="s">
        <v>598</v>
      </c>
      <c r="H9" s="36" t="s">
        <v>599</v>
      </c>
      <c r="I9" s="36" t="s">
        <v>600</v>
      </c>
      <c r="J9" s="36" t="s">
        <v>23</v>
      </c>
      <c r="K9" s="36"/>
      <c r="L9" s="36"/>
      <c r="M9" s="37"/>
      <c r="N9" s="38"/>
    </row>
    <row r="10" spans="1:14" ht="27.6" x14ac:dyDescent="0.3">
      <c r="A10" s="33" t="s">
        <v>601</v>
      </c>
      <c r="B10" s="34" t="s">
        <v>15</v>
      </c>
      <c r="C10" s="35" t="s">
        <v>602</v>
      </c>
      <c r="D10" s="36" t="s">
        <v>603</v>
      </c>
      <c r="E10" s="36" t="s">
        <v>41</v>
      </c>
      <c r="F10" s="36" t="s">
        <v>604</v>
      </c>
      <c r="G10" s="36" t="s">
        <v>605</v>
      </c>
      <c r="H10" s="36" t="s">
        <v>606</v>
      </c>
      <c r="I10" s="36" t="s">
        <v>607</v>
      </c>
      <c r="J10" s="36" t="s">
        <v>23</v>
      </c>
      <c r="K10" s="36"/>
      <c r="L10" s="36"/>
      <c r="M10" s="37"/>
      <c r="N10" s="38"/>
    </row>
    <row r="11" spans="1:14" ht="41.4" x14ac:dyDescent="0.3">
      <c r="A11" s="33" t="s">
        <v>608</v>
      </c>
      <c r="B11" s="34" t="s">
        <v>38</v>
      </c>
      <c r="C11" s="35" t="s">
        <v>609</v>
      </c>
      <c r="D11" s="36" t="s">
        <v>610</v>
      </c>
      <c r="E11" s="36" t="s">
        <v>41</v>
      </c>
      <c r="F11" s="36" t="s">
        <v>611</v>
      </c>
      <c r="G11" s="36" t="s">
        <v>612</v>
      </c>
      <c r="H11" s="36" t="s">
        <v>613</v>
      </c>
      <c r="I11" s="36" t="s">
        <v>614</v>
      </c>
      <c r="J11" s="36" t="s">
        <v>23</v>
      </c>
      <c r="K11" s="36"/>
      <c r="L11" s="36"/>
      <c r="M11" s="37"/>
      <c r="N11" s="38"/>
    </row>
  </sheetData>
  <conditionalFormatting sqref="J2:J11">
    <cfRule type="cellIs" dxfId="17" priority="1" stopIfTrue="1" operator="equal">
      <formula>"Aprobado"</formula>
    </cfRule>
    <cfRule type="cellIs" dxfId="16" priority="2" stopIfTrue="1" operator="equal">
      <formula>"Falló"</formula>
    </cfRule>
    <cfRule type="cellIs" dxfId="15" priority="3" stopIfTrue="1" operator="equal">
      <formula>"Bloqueado"</formula>
    </cfRule>
  </conditionalFormatting>
  <dataValidations count="1">
    <dataValidation type="list" allowBlank="1" showInputMessage="1" showErrorMessage="1" sqref="J2:J11" xr:uid="{34033BA1-64D2-4648-93D8-87E492EEECC9}">
      <mc:AlternateContent xmlns:x12ac="http://schemas.microsoft.com/office/spreadsheetml/2011/1/ac" xmlns:mc="http://schemas.openxmlformats.org/markup-compatibility/2006">
        <mc:Choice Requires="x12ac">
          <x12ac:list>"No ejecutado,Aprobado,Falló,Bloqueado,No aplica"</x12ac:list>
        </mc:Choice>
        <mc:Fallback>
          <formula1>"No ejecutado,Aprobado,Falló,Bloqueado,No aplica"</formula1>
        </mc:Fallback>
      </mc:AlternateContent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32E0-5B8C-4631-AC59-780215ABD77A}">
  <dimension ref="A1:N22"/>
  <sheetViews>
    <sheetView showGridLines="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/>
    </sheetView>
  </sheetViews>
  <sheetFormatPr defaultRowHeight="14.4" x14ac:dyDescent="0.3"/>
  <cols>
    <col min="1" max="1" width="13.77734375" customWidth="1"/>
    <col min="2" max="2" width="11.77734375" customWidth="1"/>
    <col min="3" max="3" width="14.77734375" customWidth="1"/>
    <col min="4" max="4" width="30.77734375" customWidth="1"/>
    <col min="5" max="5" width="28.77734375" customWidth="1"/>
    <col min="6" max="6" width="46.77734375" customWidth="1"/>
    <col min="7" max="7" width="48.77734375" customWidth="1"/>
    <col min="8" max="8" width="42.77734375" customWidth="1"/>
    <col min="9" max="9" width="32.77734375" customWidth="1"/>
    <col min="10" max="10" width="16.77734375" customWidth="1"/>
    <col min="11" max="12" width="34.77734375" customWidth="1"/>
    <col min="13" max="13" width="13.77734375" customWidth="1"/>
    <col min="14" max="14" width="18.77734375" customWidth="1"/>
  </cols>
  <sheetData>
    <row r="1" spans="1:14" ht="31.9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</row>
    <row r="2" spans="1:14" ht="96" customHeight="1" x14ac:dyDescent="0.3">
      <c r="A2" s="12" t="s">
        <v>69</v>
      </c>
      <c r="B2" s="10" t="s">
        <v>15</v>
      </c>
      <c r="C2" s="1" t="s">
        <v>16</v>
      </c>
      <c r="D2" s="1" t="s">
        <v>70</v>
      </c>
      <c r="E2" s="1" t="s">
        <v>71</v>
      </c>
      <c r="F2" s="1" t="s">
        <v>72</v>
      </c>
      <c r="G2" s="1" t="s">
        <v>73</v>
      </c>
      <c r="H2" s="1" t="s">
        <v>74</v>
      </c>
      <c r="I2" s="1" t="s">
        <v>75</v>
      </c>
      <c r="J2" s="1" t="s">
        <v>23</v>
      </c>
      <c r="K2" s="1"/>
      <c r="L2" s="1"/>
      <c r="M2" s="2"/>
      <c r="N2" s="3"/>
    </row>
    <row r="3" spans="1:14" ht="96" customHeight="1" x14ac:dyDescent="0.3">
      <c r="A3" s="12" t="s">
        <v>76</v>
      </c>
      <c r="B3" s="10" t="s">
        <v>15</v>
      </c>
      <c r="C3" s="1" t="s">
        <v>16</v>
      </c>
      <c r="D3" s="1" t="s">
        <v>77</v>
      </c>
      <c r="E3" s="1" t="s">
        <v>78</v>
      </c>
      <c r="F3" s="1" t="s">
        <v>79</v>
      </c>
      <c r="G3" s="1" t="s">
        <v>80</v>
      </c>
      <c r="H3" s="1" t="s">
        <v>81</v>
      </c>
      <c r="I3" s="1" t="s">
        <v>82</v>
      </c>
      <c r="J3" s="1" t="s">
        <v>23</v>
      </c>
      <c r="K3" s="1"/>
      <c r="L3" s="1"/>
      <c r="M3" s="2"/>
      <c r="N3" s="3"/>
    </row>
    <row r="4" spans="1:14" ht="96" customHeight="1" x14ac:dyDescent="0.3">
      <c r="A4" s="12" t="s">
        <v>83</v>
      </c>
      <c r="B4" s="10" t="s">
        <v>15</v>
      </c>
      <c r="C4" s="1" t="s">
        <v>25</v>
      </c>
      <c r="D4" s="1" t="s">
        <v>84</v>
      </c>
      <c r="E4" s="1" t="s">
        <v>85</v>
      </c>
      <c r="F4" s="1" t="s">
        <v>86</v>
      </c>
      <c r="G4" s="1" t="s">
        <v>87</v>
      </c>
      <c r="H4" s="1" t="s">
        <v>88</v>
      </c>
      <c r="I4" s="1" t="s">
        <v>89</v>
      </c>
      <c r="J4" s="1" t="s">
        <v>23</v>
      </c>
      <c r="K4" s="1"/>
      <c r="L4" s="1"/>
      <c r="M4" s="2"/>
      <c r="N4" s="3"/>
    </row>
    <row r="5" spans="1:14" ht="96" customHeight="1" x14ac:dyDescent="0.3">
      <c r="A5" s="12" t="s">
        <v>90</v>
      </c>
      <c r="B5" s="10" t="s">
        <v>15</v>
      </c>
      <c r="C5" s="1" t="s">
        <v>16</v>
      </c>
      <c r="D5" s="1" t="s">
        <v>581</v>
      </c>
      <c r="E5" s="1" t="s">
        <v>91</v>
      </c>
      <c r="F5" s="1" t="s">
        <v>582</v>
      </c>
      <c r="G5" s="1" t="s">
        <v>583</v>
      </c>
      <c r="H5" s="1" t="s">
        <v>584</v>
      </c>
      <c r="I5" s="1" t="s">
        <v>585</v>
      </c>
      <c r="J5" s="1" t="s">
        <v>23</v>
      </c>
      <c r="K5" s="1"/>
      <c r="L5" s="1"/>
      <c r="M5" s="2"/>
      <c r="N5" s="3"/>
    </row>
    <row r="6" spans="1:14" ht="96" customHeight="1" x14ac:dyDescent="0.3">
      <c r="A6" s="12" t="s">
        <v>92</v>
      </c>
      <c r="B6" s="10" t="s">
        <v>15</v>
      </c>
      <c r="C6" s="1" t="s">
        <v>93</v>
      </c>
      <c r="D6" s="1" t="s">
        <v>94</v>
      </c>
      <c r="E6" s="1" t="s">
        <v>95</v>
      </c>
      <c r="F6" s="1" t="s">
        <v>586</v>
      </c>
      <c r="G6" s="1" t="s">
        <v>96</v>
      </c>
      <c r="H6" s="1" t="s">
        <v>97</v>
      </c>
      <c r="I6" s="1" t="s">
        <v>98</v>
      </c>
      <c r="J6" s="1" t="s">
        <v>23</v>
      </c>
      <c r="K6" s="1"/>
      <c r="L6" s="1"/>
      <c r="M6" s="2"/>
      <c r="N6" s="3"/>
    </row>
    <row r="7" spans="1:14" ht="96" customHeight="1" x14ac:dyDescent="0.3">
      <c r="A7" s="12" t="s">
        <v>99</v>
      </c>
      <c r="B7" s="10" t="s">
        <v>38</v>
      </c>
      <c r="C7" s="1" t="s">
        <v>39</v>
      </c>
      <c r="D7" s="1" t="s">
        <v>100</v>
      </c>
      <c r="E7" s="1" t="s">
        <v>101</v>
      </c>
      <c r="F7" s="1" t="s">
        <v>102</v>
      </c>
      <c r="G7" s="1" t="s">
        <v>103</v>
      </c>
      <c r="H7" s="1" t="s">
        <v>104</v>
      </c>
      <c r="I7" s="1" t="s">
        <v>105</v>
      </c>
      <c r="J7" s="1" t="s">
        <v>23</v>
      </c>
      <c r="K7" s="1"/>
      <c r="L7" s="1"/>
      <c r="M7" s="2"/>
      <c r="N7" s="3"/>
    </row>
    <row r="8" spans="1:14" ht="96" customHeight="1" x14ac:dyDescent="0.3">
      <c r="A8" s="12" t="s">
        <v>106</v>
      </c>
      <c r="B8" s="10" t="s">
        <v>38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" t="s">
        <v>23</v>
      </c>
      <c r="K8" s="1"/>
      <c r="L8" s="1"/>
      <c r="M8" s="2"/>
      <c r="N8" s="3"/>
    </row>
    <row r="9" spans="1:14" ht="96" customHeight="1" x14ac:dyDescent="0.3">
      <c r="A9" s="12" t="s">
        <v>114</v>
      </c>
      <c r="B9" s="10" t="s">
        <v>38</v>
      </c>
      <c r="C9" s="1" t="s">
        <v>16</v>
      </c>
      <c r="D9" s="1" t="s">
        <v>115</v>
      </c>
      <c r="E9" s="1" t="s">
        <v>116</v>
      </c>
      <c r="F9" s="1" t="s">
        <v>117</v>
      </c>
      <c r="G9" s="1" t="s">
        <v>118</v>
      </c>
      <c r="H9" s="1" t="s">
        <v>119</v>
      </c>
      <c r="I9" s="1" t="s">
        <v>120</v>
      </c>
      <c r="J9" s="1" t="s">
        <v>23</v>
      </c>
      <c r="K9" s="1"/>
      <c r="L9" s="1"/>
      <c r="M9" s="2"/>
      <c r="N9" s="3"/>
    </row>
    <row r="10" spans="1:14" ht="96" customHeight="1" x14ac:dyDescent="0.3">
      <c r="A10" s="12" t="s">
        <v>121</v>
      </c>
      <c r="B10" s="10" t="s">
        <v>15</v>
      </c>
      <c r="C10" s="1" t="s">
        <v>107</v>
      </c>
      <c r="D10" s="1" t="s">
        <v>122</v>
      </c>
      <c r="E10" s="1" t="s">
        <v>123</v>
      </c>
      <c r="F10" s="1" t="s">
        <v>124</v>
      </c>
      <c r="G10" s="1" t="s">
        <v>125</v>
      </c>
      <c r="H10" s="1" t="s">
        <v>126</v>
      </c>
      <c r="I10" s="1" t="s">
        <v>127</v>
      </c>
      <c r="J10" s="1" t="s">
        <v>23</v>
      </c>
      <c r="K10" s="1"/>
      <c r="L10" s="1"/>
      <c r="M10" s="2"/>
      <c r="N10" s="3"/>
    </row>
    <row r="11" spans="1:14" ht="96" customHeight="1" x14ac:dyDescent="0.3">
      <c r="A11" s="12" t="s">
        <v>128</v>
      </c>
      <c r="B11" s="10" t="s">
        <v>38</v>
      </c>
      <c r="C11" s="1" t="s">
        <v>129</v>
      </c>
      <c r="D11" s="1" t="s">
        <v>130</v>
      </c>
      <c r="E11" s="1" t="s">
        <v>131</v>
      </c>
      <c r="F11" s="1" t="s">
        <v>132</v>
      </c>
      <c r="G11" s="1" t="s">
        <v>133</v>
      </c>
      <c r="H11" s="1" t="s">
        <v>134</v>
      </c>
      <c r="I11" s="1" t="s">
        <v>135</v>
      </c>
      <c r="J11" s="1" t="s">
        <v>23</v>
      </c>
      <c r="K11" s="1"/>
      <c r="L11" s="1"/>
      <c r="M11" s="2"/>
      <c r="N11" s="3"/>
    </row>
    <row r="12" spans="1:14" ht="96" customHeight="1" x14ac:dyDescent="0.3">
      <c r="A12" s="12" t="s">
        <v>136</v>
      </c>
      <c r="B12" s="10" t="s">
        <v>15</v>
      </c>
      <c r="C12" s="1" t="s">
        <v>9</v>
      </c>
      <c r="D12" s="1" t="s">
        <v>137</v>
      </c>
      <c r="E12" s="1" t="s">
        <v>138</v>
      </c>
      <c r="F12" s="1" t="s">
        <v>139</v>
      </c>
      <c r="G12" s="1" t="s">
        <v>140</v>
      </c>
      <c r="H12" s="1" t="s">
        <v>141</v>
      </c>
      <c r="I12" s="1" t="s">
        <v>142</v>
      </c>
      <c r="J12" s="1" t="s">
        <v>23</v>
      </c>
      <c r="K12" s="1"/>
      <c r="L12" s="1"/>
      <c r="M12" s="2"/>
      <c r="N12" s="3"/>
    </row>
    <row r="13" spans="1:14" ht="96" customHeight="1" x14ac:dyDescent="0.3">
      <c r="A13" s="12" t="s">
        <v>143</v>
      </c>
      <c r="B13" s="10" t="s">
        <v>15</v>
      </c>
      <c r="C13" s="1" t="s">
        <v>144</v>
      </c>
      <c r="D13" s="1" t="s">
        <v>145</v>
      </c>
      <c r="E13" s="1" t="s">
        <v>146</v>
      </c>
      <c r="F13" s="1" t="s">
        <v>147</v>
      </c>
      <c r="G13" s="1" t="s">
        <v>148</v>
      </c>
      <c r="H13" s="1" t="s">
        <v>149</v>
      </c>
      <c r="I13" s="1" t="s">
        <v>150</v>
      </c>
      <c r="J13" s="1" t="s">
        <v>23</v>
      </c>
      <c r="K13" s="1"/>
      <c r="L13" s="1"/>
      <c r="M13" s="2"/>
      <c r="N13" s="3"/>
    </row>
    <row r="14" spans="1:14" ht="96" customHeight="1" x14ac:dyDescent="0.3">
      <c r="A14" s="12" t="s">
        <v>151</v>
      </c>
      <c r="B14" s="10" t="s">
        <v>15</v>
      </c>
      <c r="C14" s="1" t="s">
        <v>144</v>
      </c>
      <c r="D14" s="1" t="s">
        <v>152</v>
      </c>
      <c r="E14" s="1" t="s">
        <v>153</v>
      </c>
      <c r="F14" s="1" t="s">
        <v>154</v>
      </c>
      <c r="G14" s="1" t="s">
        <v>155</v>
      </c>
      <c r="H14" s="1" t="s">
        <v>156</v>
      </c>
      <c r="I14" s="1" t="s">
        <v>157</v>
      </c>
      <c r="J14" s="1" t="s">
        <v>23</v>
      </c>
      <c r="K14" s="1"/>
      <c r="L14" s="1"/>
      <c r="M14" s="2"/>
      <c r="N14" s="3"/>
    </row>
    <row r="15" spans="1:14" ht="96" customHeight="1" x14ac:dyDescent="0.3">
      <c r="A15" s="12" t="s">
        <v>158</v>
      </c>
      <c r="B15" s="10" t="s">
        <v>15</v>
      </c>
      <c r="C15" s="1" t="s">
        <v>47</v>
      </c>
      <c r="D15" s="1" t="s">
        <v>159</v>
      </c>
      <c r="E15" s="1" t="s">
        <v>160</v>
      </c>
      <c r="F15" s="1" t="s">
        <v>161</v>
      </c>
      <c r="G15" s="1" t="s">
        <v>162</v>
      </c>
      <c r="H15" s="1" t="s">
        <v>163</v>
      </c>
      <c r="I15" s="1" t="s">
        <v>164</v>
      </c>
      <c r="J15" s="1" t="s">
        <v>23</v>
      </c>
      <c r="K15" s="1"/>
      <c r="L15" s="1"/>
      <c r="M15" s="2"/>
      <c r="N15" s="3"/>
    </row>
    <row r="16" spans="1:14" ht="96" customHeight="1" x14ac:dyDescent="0.3">
      <c r="A16" s="12" t="s">
        <v>165</v>
      </c>
      <c r="B16" s="10" t="s">
        <v>38</v>
      </c>
      <c r="C16" s="1" t="s">
        <v>166</v>
      </c>
      <c r="D16" s="1" t="s">
        <v>167</v>
      </c>
      <c r="E16" s="1" t="s">
        <v>168</v>
      </c>
      <c r="F16" s="1" t="s">
        <v>169</v>
      </c>
      <c r="G16" s="1" t="s">
        <v>170</v>
      </c>
      <c r="H16" s="1" t="s">
        <v>171</v>
      </c>
      <c r="I16" s="1" t="s">
        <v>172</v>
      </c>
      <c r="J16" s="1" t="s">
        <v>23</v>
      </c>
      <c r="K16" s="1"/>
      <c r="L16" s="1"/>
      <c r="M16" s="2"/>
      <c r="N16" s="3"/>
    </row>
    <row r="17" spans="1:14" ht="96" customHeight="1" x14ac:dyDescent="0.3">
      <c r="A17" s="12" t="s">
        <v>173</v>
      </c>
      <c r="B17" s="10" t="s">
        <v>38</v>
      </c>
      <c r="C17" s="1" t="s">
        <v>166</v>
      </c>
      <c r="D17" s="1" t="s">
        <v>174</v>
      </c>
      <c r="E17" s="1" t="s">
        <v>175</v>
      </c>
      <c r="F17" s="1" t="s">
        <v>176</v>
      </c>
      <c r="G17" s="1" t="s">
        <v>177</v>
      </c>
      <c r="H17" s="1" t="s">
        <v>178</v>
      </c>
      <c r="I17" s="1" t="s">
        <v>179</v>
      </c>
      <c r="J17" s="1" t="s">
        <v>23</v>
      </c>
      <c r="K17" s="1"/>
      <c r="L17" s="1"/>
      <c r="M17" s="2"/>
      <c r="N17" s="3"/>
    </row>
    <row r="18" spans="1:14" ht="96" customHeight="1" x14ac:dyDescent="0.3">
      <c r="A18" s="12" t="s">
        <v>180</v>
      </c>
      <c r="B18" s="10" t="s">
        <v>38</v>
      </c>
      <c r="C18" s="1" t="s">
        <v>39</v>
      </c>
      <c r="D18" s="1" t="s">
        <v>181</v>
      </c>
      <c r="E18" s="1" t="s">
        <v>101</v>
      </c>
      <c r="F18" s="1" t="s">
        <v>182</v>
      </c>
      <c r="G18" s="1" t="s">
        <v>183</v>
      </c>
      <c r="H18" s="1" t="s">
        <v>184</v>
      </c>
      <c r="I18" s="1" t="s">
        <v>185</v>
      </c>
      <c r="J18" s="1" t="s">
        <v>23</v>
      </c>
      <c r="K18" s="1"/>
      <c r="L18" s="1"/>
      <c r="M18" s="2"/>
      <c r="N18" s="3"/>
    </row>
    <row r="19" spans="1:14" ht="96" customHeight="1" x14ac:dyDescent="0.3">
      <c r="A19" s="13" t="s">
        <v>186</v>
      </c>
      <c r="B19" s="11" t="s">
        <v>38</v>
      </c>
      <c r="C19" s="7" t="s">
        <v>187</v>
      </c>
      <c r="D19" s="7" t="s">
        <v>188</v>
      </c>
      <c r="E19" s="7" t="s">
        <v>189</v>
      </c>
      <c r="F19" s="7" t="s">
        <v>190</v>
      </c>
      <c r="G19" s="7" t="s">
        <v>191</v>
      </c>
      <c r="H19" s="7" t="s">
        <v>192</v>
      </c>
      <c r="I19" s="7" t="s">
        <v>193</v>
      </c>
      <c r="J19" s="7" t="s">
        <v>23</v>
      </c>
      <c r="K19" s="7"/>
      <c r="L19" s="7"/>
      <c r="M19" s="8"/>
      <c r="N19" s="9"/>
    </row>
    <row r="20" spans="1:14" ht="27.6" x14ac:dyDescent="0.3">
      <c r="A20" s="33" t="s">
        <v>615</v>
      </c>
      <c r="B20" s="34" t="s">
        <v>15</v>
      </c>
      <c r="C20" s="35" t="s">
        <v>322</v>
      </c>
      <c r="D20" s="36" t="s">
        <v>616</v>
      </c>
      <c r="E20" s="36" t="s">
        <v>617</v>
      </c>
      <c r="F20" s="36" t="s">
        <v>618</v>
      </c>
      <c r="G20" s="36" t="s">
        <v>619</v>
      </c>
      <c r="H20" s="36" t="s">
        <v>620</v>
      </c>
      <c r="I20" s="36" t="s">
        <v>621</v>
      </c>
      <c r="J20" s="36" t="s">
        <v>23</v>
      </c>
      <c r="K20" s="36"/>
      <c r="L20" s="36"/>
      <c r="M20" s="37"/>
      <c r="N20" s="38"/>
    </row>
    <row r="21" spans="1:14" ht="41.4" x14ac:dyDescent="0.3">
      <c r="A21" s="33" t="s">
        <v>622</v>
      </c>
      <c r="B21" s="34" t="s">
        <v>15</v>
      </c>
      <c r="C21" s="35" t="s">
        <v>16</v>
      </c>
      <c r="D21" s="36" t="s">
        <v>623</v>
      </c>
      <c r="E21" s="36" t="s">
        <v>624</v>
      </c>
      <c r="F21" s="36" t="s">
        <v>625</v>
      </c>
      <c r="G21" s="36" t="s">
        <v>626</v>
      </c>
      <c r="H21" s="36" t="s">
        <v>627</v>
      </c>
      <c r="I21" s="36" t="s">
        <v>628</v>
      </c>
      <c r="J21" s="36" t="s">
        <v>23</v>
      </c>
      <c r="K21" s="36"/>
      <c r="L21" s="36"/>
      <c r="M21" s="37"/>
      <c r="N21" s="38"/>
    </row>
    <row r="22" spans="1:14" ht="41.4" x14ac:dyDescent="0.3">
      <c r="A22" s="33" t="s">
        <v>629</v>
      </c>
      <c r="B22" s="34" t="s">
        <v>15</v>
      </c>
      <c r="C22" s="35" t="s">
        <v>93</v>
      </c>
      <c r="D22" s="36" t="s">
        <v>630</v>
      </c>
      <c r="E22" s="36" t="s">
        <v>631</v>
      </c>
      <c r="F22" s="36" t="s">
        <v>632</v>
      </c>
      <c r="G22" s="36" t="s">
        <v>633</v>
      </c>
      <c r="H22" s="36" t="s">
        <v>634</v>
      </c>
      <c r="I22" s="36" t="s">
        <v>635</v>
      </c>
      <c r="J22" s="36" t="s">
        <v>23</v>
      </c>
      <c r="K22" s="36"/>
      <c r="L22" s="36"/>
      <c r="M22" s="37"/>
      <c r="N22" s="38"/>
    </row>
  </sheetData>
  <conditionalFormatting sqref="J2:J22">
    <cfRule type="cellIs" dxfId="14" priority="1" stopIfTrue="1" operator="equal">
      <formula>"Aprobado"</formula>
    </cfRule>
    <cfRule type="cellIs" dxfId="13" priority="2" stopIfTrue="1" operator="equal">
      <formula>"Falló"</formula>
    </cfRule>
    <cfRule type="cellIs" dxfId="12" priority="3" stopIfTrue="1" operator="equal">
      <formula>"Bloqueado"</formula>
    </cfRule>
  </conditionalFormatting>
  <dataValidations count="1">
    <dataValidation type="list" allowBlank="1" showInputMessage="1" showErrorMessage="1" sqref="J2:J22" xr:uid="{E62ED336-42AF-4BB0-9ADE-E9C9C9A5FB0D}">
      <mc:AlternateContent xmlns:x12ac="http://schemas.microsoft.com/office/spreadsheetml/2011/1/ac" xmlns:mc="http://schemas.openxmlformats.org/markup-compatibility/2006">
        <mc:Choice Requires="x12ac">
          <x12ac:list>"No ejecutado,Aprobado,Falló,Bloqueado,No aplica"</x12ac:list>
        </mc:Choice>
        <mc:Fallback>
          <formula1>"No ejecutado,Aprobado,Falló,Bloqueado,No aplica"</formula1>
        </mc:Fallback>
      </mc:AlternateContent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3BF8-2988-40B1-9695-C779F11DDCD0}">
  <dimension ref="A1:N13"/>
  <sheetViews>
    <sheetView showGridLines="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/>
    </sheetView>
  </sheetViews>
  <sheetFormatPr defaultRowHeight="14.4" x14ac:dyDescent="0.3"/>
  <cols>
    <col min="1" max="1" width="13.77734375" customWidth="1"/>
    <col min="2" max="2" width="11.77734375" customWidth="1"/>
    <col min="3" max="3" width="14.77734375" customWidth="1"/>
    <col min="4" max="4" width="30.77734375" customWidth="1"/>
    <col min="5" max="5" width="28.77734375" customWidth="1"/>
    <col min="6" max="6" width="46.77734375" customWidth="1"/>
    <col min="7" max="7" width="48.77734375" customWidth="1"/>
    <col min="8" max="8" width="42.77734375" customWidth="1"/>
    <col min="9" max="9" width="32.77734375" customWidth="1"/>
    <col min="10" max="10" width="16.77734375" customWidth="1"/>
    <col min="11" max="12" width="34.77734375" customWidth="1"/>
    <col min="13" max="13" width="13.77734375" customWidth="1"/>
    <col min="14" max="14" width="18.77734375" customWidth="1"/>
  </cols>
  <sheetData>
    <row r="1" spans="1:14" ht="31.9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</row>
    <row r="2" spans="1:14" ht="96" customHeight="1" x14ac:dyDescent="0.3">
      <c r="A2" s="12" t="s">
        <v>195</v>
      </c>
      <c r="B2" s="10" t="s">
        <v>38</v>
      </c>
      <c r="C2" s="1" t="s">
        <v>196</v>
      </c>
      <c r="D2" s="1" t="s">
        <v>197</v>
      </c>
      <c r="E2" s="1" t="s">
        <v>198</v>
      </c>
      <c r="F2" s="1" t="s">
        <v>199</v>
      </c>
      <c r="G2" s="1" t="s">
        <v>200</v>
      </c>
      <c r="H2" s="1" t="s">
        <v>201</v>
      </c>
      <c r="I2" s="1" t="s">
        <v>202</v>
      </c>
      <c r="J2" s="1" t="s">
        <v>23</v>
      </c>
      <c r="K2" s="1"/>
      <c r="L2" s="1"/>
      <c r="M2" s="2"/>
      <c r="N2" s="3"/>
    </row>
    <row r="3" spans="1:14" ht="96" customHeight="1" x14ac:dyDescent="0.3">
      <c r="A3" s="12" t="s">
        <v>203</v>
      </c>
      <c r="B3" s="10" t="s">
        <v>38</v>
      </c>
      <c r="C3" s="1" t="s">
        <v>196</v>
      </c>
      <c r="D3" s="1" t="s">
        <v>204</v>
      </c>
      <c r="E3" s="1" t="s">
        <v>205</v>
      </c>
      <c r="F3" s="1" t="s">
        <v>206</v>
      </c>
      <c r="G3" s="1" t="s">
        <v>207</v>
      </c>
      <c r="H3" s="1" t="s">
        <v>208</v>
      </c>
      <c r="I3" s="1" t="s">
        <v>209</v>
      </c>
      <c r="J3" s="1" t="s">
        <v>23</v>
      </c>
      <c r="K3" s="1"/>
      <c r="L3" s="1"/>
      <c r="M3" s="2"/>
      <c r="N3" s="3"/>
    </row>
    <row r="4" spans="1:14" ht="96" customHeight="1" x14ac:dyDescent="0.3">
      <c r="A4" s="12" t="s">
        <v>210</v>
      </c>
      <c r="B4" s="10" t="s">
        <v>15</v>
      </c>
      <c r="C4" s="1" t="s">
        <v>211</v>
      </c>
      <c r="D4" s="1" t="s">
        <v>212</v>
      </c>
      <c r="E4" s="1" t="s">
        <v>213</v>
      </c>
      <c r="F4" s="1" t="s">
        <v>214</v>
      </c>
      <c r="G4" s="1" t="s">
        <v>215</v>
      </c>
      <c r="H4" s="1" t="s">
        <v>216</v>
      </c>
      <c r="I4" s="1" t="s">
        <v>217</v>
      </c>
      <c r="J4" s="1" t="s">
        <v>23</v>
      </c>
      <c r="K4" s="1"/>
      <c r="L4" s="1"/>
      <c r="M4" s="2"/>
      <c r="N4" s="3"/>
    </row>
    <row r="5" spans="1:14" ht="96" customHeight="1" x14ac:dyDescent="0.3">
      <c r="A5" s="12" t="s">
        <v>218</v>
      </c>
      <c r="B5" s="10" t="s">
        <v>15</v>
      </c>
      <c r="C5" s="1" t="s">
        <v>211</v>
      </c>
      <c r="D5" s="1" t="s">
        <v>219</v>
      </c>
      <c r="E5" s="1" t="s">
        <v>220</v>
      </c>
      <c r="F5" s="1" t="s">
        <v>221</v>
      </c>
      <c r="G5" s="1" t="s">
        <v>222</v>
      </c>
      <c r="H5" s="1" t="s">
        <v>223</v>
      </c>
      <c r="I5" s="1" t="s">
        <v>224</v>
      </c>
      <c r="J5" s="1" t="s">
        <v>23</v>
      </c>
      <c r="K5" s="1"/>
      <c r="L5" s="1"/>
      <c r="M5" s="2"/>
      <c r="N5" s="3"/>
    </row>
    <row r="6" spans="1:14" ht="96" customHeight="1" x14ac:dyDescent="0.3">
      <c r="A6" s="12" t="s">
        <v>225</v>
      </c>
      <c r="B6" s="10" t="s">
        <v>38</v>
      </c>
      <c r="C6" s="1" t="s">
        <v>226</v>
      </c>
      <c r="D6" s="1" t="s">
        <v>227</v>
      </c>
      <c r="E6" s="1" t="s">
        <v>228</v>
      </c>
      <c r="F6" s="1" t="s">
        <v>229</v>
      </c>
      <c r="G6" s="1" t="s">
        <v>200</v>
      </c>
      <c r="H6" s="1" t="s">
        <v>230</v>
      </c>
      <c r="I6" s="1" t="s">
        <v>231</v>
      </c>
      <c r="J6" s="1" t="s">
        <v>23</v>
      </c>
      <c r="K6" s="1"/>
      <c r="L6" s="1"/>
      <c r="M6" s="2"/>
      <c r="N6" s="3"/>
    </row>
    <row r="7" spans="1:14" ht="96" customHeight="1" x14ac:dyDescent="0.3">
      <c r="A7" s="12" t="s">
        <v>232</v>
      </c>
      <c r="B7" s="10" t="s">
        <v>38</v>
      </c>
      <c r="C7" s="1" t="s">
        <v>194</v>
      </c>
      <c r="D7" s="1" t="s">
        <v>233</v>
      </c>
      <c r="E7" s="1" t="s">
        <v>234</v>
      </c>
      <c r="F7" s="1" t="s">
        <v>235</v>
      </c>
      <c r="G7" s="1" t="s">
        <v>236</v>
      </c>
      <c r="H7" s="1" t="s">
        <v>237</v>
      </c>
      <c r="I7" s="1" t="s">
        <v>238</v>
      </c>
      <c r="J7" s="1" t="s">
        <v>23</v>
      </c>
      <c r="K7" s="1"/>
      <c r="L7" s="1"/>
      <c r="M7" s="2"/>
      <c r="N7" s="3"/>
    </row>
    <row r="8" spans="1:14" ht="96" customHeight="1" x14ac:dyDescent="0.3">
      <c r="A8" s="13" t="s">
        <v>239</v>
      </c>
      <c r="B8" s="11" t="s">
        <v>15</v>
      </c>
      <c r="C8" s="7" t="s">
        <v>240</v>
      </c>
      <c r="D8" s="7" t="s">
        <v>241</v>
      </c>
      <c r="E8" s="7" t="s">
        <v>242</v>
      </c>
      <c r="F8" s="7" t="s">
        <v>243</v>
      </c>
      <c r="G8" s="7" t="s">
        <v>244</v>
      </c>
      <c r="H8" s="7" t="s">
        <v>245</v>
      </c>
      <c r="I8" s="7" t="s">
        <v>246</v>
      </c>
      <c r="J8" s="7" t="s">
        <v>23</v>
      </c>
      <c r="K8" s="7"/>
      <c r="L8" s="7"/>
      <c r="M8" s="8"/>
      <c r="N8" s="9"/>
    </row>
    <row r="9" spans="1:14" ht="96" customHeight="1" x14ac:dyDescent="0.3"/>
    <row r="10" spans="1:14" ht="96" customHeight="1" x14ac:dyDescent="0.3"/>
    <row r="11" spans="1:14" ht="96" customHeight="1" x14ac:dyDescent="0.3"/>
    <row r="12" spans="1:14" ht="96" customHeight="1" x14ac:dyDescent="0.3"/>
    <row r="13" spans="1:14" ht="96" customHeight="1" x14ac:dyDescent="0.3"/>
  </sheetData>
  <conditionalFormatting sqref="J2:J8">
    <cfRule type="cellIs" dxfId="11" priority="1" stopIfTrue="1" operator="equal">
      <formula>"Aprobado"</formula>
    </cfRule>
    <cfRule type="cellIs" dxfId="10" priority="2" stopIfTrue="1" operator="equal">
      <formula>"Falló"</formula>
    </cfRule>
    <cfRule type="cellIs" dxfId="9" priority="3" stopIfTrue="1" operator="equal">
      <formula>"Bloqueado"</formula>
    </cfRule>
  </conditionalFormatting>
  <dataValidations count="1">
    <dataValidation type="list" allowBlank="1" showInputMessage="1" showErrorMessage="1" sqref="J2:J8" xr:uid="{C374DDAC-57AD-4BCB-8079-3EB349211E9B}">
      <mc:AlternateContent xmlns:x12ac="http://schemas.microsoft.com/office/spreadsheetml/2011/1/ac" xmlns:mc="http://schemas.openxmlformats.org/markup-compatibility/2006">
        <mc:Choice Requires="x12ac">
          <x12ac:list>"No ejecutado,Aprobado,Falló,Bloqueado,No aplica"</x12ac:list>
        </mc:Choice>
        <mc:Fallback>
          <formula1>"No ejecutado,Aprobado,Falló,Bloqueado,No aplica"</formula1>
        </mc:Fallback>
      </mc:AlternateContent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8EB01-424E-4DF1-8C1A-966540DC2A94}">
  <dimension ref="A1:N11"/>
  <sheetViews>
    <sheetView showGridLines="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/>
    </sheetView>
  </sheetViews>
  <sheetFormatPr defaultRowHeight="14.4" x14ac:dyDescent="0.3"/>
  <cols>
    <col min="1" max="1" width="13.77734375" customWidth="1"/>
    <col min="2" max="2" width="11.77734375" customWidth="1"/>
    <col min="3" max="3" width="14.77734375" customWidth="1"/>
    <col min="4" max="4" width="30.77734375" customWidth="1"/>
    <col min="5" max="5" width="28.77734375" customWidth="1"/>
    <col min="6" max="6" width="46.77734375" customWidth="1"/>
    <col min="7" max="7" width="48.77734375" customWidth="1"/>
    <col min="8" max="8" width="42.77734375" customWidth="1"/>
    <col min="9" max="9" width="32.77734375" customWidth="1"/>
    <col min="10" max="10" width="16.77734375" customWidth="1"/>
    <col min="11" max="12" width="34.77734375" customWidth="1"/>
    <col min="13" max="13" width="13.77734375" customWidth="1"/>
    <col min="14" max="14" width="18.77734375" customWidth="1"/>
  </cols>
  <sheetData>
    <row r="1" spans="1:14" ht="31.9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</row>
    <row r="2" spans="1:14" ht="96" customHeight="1" x14ac:dyDescent="0.3">
      <c r="A2" s="12" t="s">
        <v>247</v>
      </c>
      <c r="B2" s="10" t="s">
        <v>15</v>
      </c>
      <c r="C2" s="1" t="s">
        <v>62</v>
      </c>
      <c r="D2" s="1" t="s">
        <v>248</v>
      </c>
      <c r="E2" s="1" t="s">
        <v>249</v>
      </c>
      <c r="F2" s="1" t="s">
        <v>250</v>
      </c>
      <c r="G2" s="1" t="s">
        <v>251</v>
      </c>
      <c r="H2" s="1" t="s">
        <v>252</v>
      </c>
      <c r="I2" s="1" t="s">
        <v>253</v>
      </c>
      <c r="J2" s="1" t="s">
        <v>23</v>
      </c>
      <c r="K2" s="1"/>
      <c r="L2" s="1"/>
      <c r="M2" s="2"/>
      <c r="N2" s="3"/>
    </row>
    <row r="3" spans="1:14" ht="96" customHeight="1" x14ac:dyDescent="0.3">
      <c r="A3" s="12" t="s">
        <v>254</v>
      </c>
      <c r="B3" s="10" t="s">
        <v>38</v>
      </c>
      <c r="C3" s="1" t="s">
        <v>62</v>
      </c>
      <c r="D3" s="1" t="s">
        <v>255</v>
      </c>
      <c r="E3" s="1" t="s">
        <v>256</v>
      </c>
      <c r="F3" s="1" t="s">
        <v>257</v>
      </c>
      <c r="G3" s="1" t="s">
        <v>258</v>
      </c>
      <c r="H3" s="1" t="s">
        <v>259</v>
      </c>
      <c r="I3" s="1" t="s">
        <v>260</v>
      </c>
      <c r="J3" s="1" t="s">
        <v>23</v>
      </c>
      <c r="K3" s="1"/>
      <c r="L3" s="1"/>
      <c r="M3" s="2"/>
      <c r="N3" s="3"/>
    </row>
    <row r="4" spans="1:14" ht="96" customHeight="1" x14ac:dyDescent="0.3">
      <c r="A4" s="12" t="s">
        <v>261</v>
      </c>
      <c r="B4" s="10" t="s">
        <v>15</v>
      </c>
      <c r="C4" s="1" t="s">
        <v>262</v>
      </c>
      <c r="D4" s="1" t="s">
        <v>263</v>
      </c>
      <c r="E4" s="1" t="s">
        <v>131</v>
      </c>
      <c r="F4" s="1" t="s">
        <v>264</v>
      </c>
      <c r="G4" s="1" t="s">
        <v>265</v>
      </c>
      <c r="H4" s="1" t="s">
        <v>266</v>
      </c>
      <c r="I4" s="1" t="s">
        <v>267</v>
      </c>
      <c r="J4" s="1" t="s">
        <v>23</v>
      </c>
      <c r="K4" s="1"/>
      <c r="L4" s="1"/>
      <c r="M4" s="2"/>
      <c r="N4" s="3"/>
    </row>
    <row r="5" spans="1:14" ht="96" customHeight="1" x14ac:dyDescent="0.3">
      <c r="A5" s="12" t="s">
        <v>268</v>
      </c>
      <c r="B5" s="10" t="s">
        <v>15</v>
      </c>
      <c r="C5" s="1" t="s">
        <v>25</v>
      </c>
      <c r="D5" s="1" t="s">
        <v>269</v>
      </c>
      <c r="E5" s="1" t="s">
        <v>270</v>
      </c>
      <c r="F5" s="1" t="s">
        <v>271</v>
      </c>
      <c r="G5" s="1" t="s">
        <v>272</v>
      </c>
      <c r="H5" s="1" t="s">
        <v>273</v>
      </c>
      <c r="I5" s="1" t="s">
        <v>274</v>
      </c>
      <c r="J5" s="1" t="s">
        <v>23</v>
      </c>
      <c r="K5" s="1"/>
      <c r="L5" s="1"/>
      <c r="M5" s="2"/>
      <c r="N5" s="3"/>
    </row>
    <row r="6" spans="1:14" ht="96" customHeight="1" x14ac:dyDescent="0.3">
      <c r="A6" s="12" t="s">
        <v>275</v>
      </c>
      <c r="B6" s="10" t="s">
        <v>15</v>
      </c>
      <c r="C6" s="1" t="s">
        <v>9</v>
      </c>
      <c r="D6" s="1" t="s">
        <v>276</v>
      </c>
      <c r="E6" s="1" t="s">
        <v>277</v>
      </c>
      <c r="F6" s="1" t="s">
        <v>278</v>
      </c>
      <c r="G6" s="1" t="s">
        <v>279</v>
      </c>
      <c r="H6" s="1" t="s">
        <v>280</v>
      </c>
      <c r="I6" s="1" t="s">
        <v>281</v>
      </c>
      <c r="J6" s="1" t="s">
        <v>23</v>
      </c>
      <c r="K6" s="1"/>
      <c r="L6" s="1"/>
      <c r="M6" s="2"/>
      <c r="N6" s="3"/>
    </row>
    <row r="7" spans="1:14" ht="96" customHeight="1" x14ac:dyDescent="0.3">
      <c r="A7" s="12" t="s">
        <v>282</v>
      </c>
      <c r="B7" s="10" t="s">
        <v>38</v>
      </c>
      <c r="C7" s="1" t="s">
        <v>283</v>
      </c>
      <c r="D7" s="1" t="s">
        <v>284</v>
      </c>
      <c r="E7" s="1" t="s">
        <v>285</v>
      </c>
      <c r="F7" s="1" t="s">
        <v>286</v>
      </c>
      <c r="G7" s="1" t="s">
        <v>287</v>
      </c>
      <c r="H7" s="1" t="s">
        <v>288</v>
      </c>
      <c r="I7" s="1" t="s">
        <v>289</v>
      </c>
      <c r="J7" s="1" t="s">
        <v>23</v>
      </c>
      <c r="K7" s="1"/>
      <c r="L7" s="1"/>
      <c r="M7" s="2"/>
      <c r="N7" s="3"/>
    </row>
    <row r="8" spans="1:14" ht="96" customHeight="1" x14ac:dyDescent="0.3">
      <c r="A8" s="12" t="s">
        <v>290</v>
      </c>
      <c r="B8" s="10" t="s">
        <v>38</v>
      </c>
      <c r="C8" s="1" t="s">
        <v>291</v>
      </c>
      <c r="D8" s="1" t="s">
        <v>292</v>
      </c>
      <c r="E8" s="1" t="s">
        <v>293</v>
      </c>
      <c r="F8" s="1" t="s">
        <v>294</v>
      </c>
      <c r="G8" s="1" t="s">
        <v>295</v>
      </c>
      <c r="H8" s="1" t="s">
        <v>296</v>
      </c>
      <c r="I8" s="1" t="s">
        <v>297</v>
      </c>
      <c r="J8" s="1" t="s">
        <v>23</v>
      </c>
      <c r="K8" s="1"/>
      <c r="L8" s="1"/>
      <c r="M8" s="2"/>
      <c r="N8" s="3"/>
    </row>
    <row r="9" spans="1:14" ht="96" customHeight="1" x14ac:dyDescent="0.3">
      <c r="A9" s="12" t="s">
        <v>298</v>
      </c>
      <c r="B9" s="10" t="s">
        <v>38</v>
      </c>
      <c r="C9" s="1" t="s">
        <v>299</v>
      </c>
      <c r="D9" s="1" t="s">
        <v>300</v>
      </c>
      <c r="E9" s="1" t="s">
        <v>301</v>
      </c>
      <c r="F9" s="1" t="s">
        <v>302</v>
      </c>
      <c r="G9" s="1" t="s">
        <v>303</v>
      </c>
      <c r="H9" s="1" t="s">
        <v>304</v>
      </c>
      <c r="I9" s="1" t="s">
        <v>305</v>
      </c>
      <c r="J9" s="1" t="s">
        <v>23</v>
      </c>
      <c r="K9" s="1"/>
      <c r="L9" s="1"/>
      <c r="M9" s="2"/>
      <c r="N9" s="3"/>
    </row>
    <row r="10" spans="1:14" ht="96" customHeight="1" x14ac:dyDescent="0.3">
      <c r="A10" s="12" t="s">
        <v>306</v>
      </c>
      <c r="B10" s="10" t="s">
        <v>38</v>
      </c>
      <c r="C10" s="1" t="s">
        <v>307</v>
      </c>
      <c r="D10" s="1" t="s">
        <v>308</v>
      </c>
      <c r="E10" s="1" t="s">
        <v>309</v>
      </c>
      <c r="F10" s="1" t="s">
        <v>310</v>
      </c>
      <c r="G10" s="1" t="s">
        <v>311</v>
      </c>
      <c r="H10" s="1" t="s">
        <v>312</v>
      </c>
      <c r="I10" s="1" t="s">
        <v>313</v>
      </c>
      <c r="J10" s="1" t="s">
        <v>23</v>
      </c>
      <c r="K10" s="1"/>
      <c r="L10" s="1"/>
      <c r="M10" s="2"/>
      <c r="N10" s="3"/>
    </row>
    <row r="11" spans="1:14" ht="96" customHeight="1" x14ac:dyDescent="0.3">
      <c r="A11" s="13" t="s">
        <v>314</v>
      </c>
      <c r="B11" s="11" t="s">
        <v>38</v>
      </c>
      <c r="C11" s="7" t="s">
        <v>47</v>
      </c>
      <c r="D11" s="7" t="s">
        <v>315</v>
      </c>
      <c r="E11" s="7" t="s">
        <v>316</v>
      </c>
      <c r="F11" s="7" t="s">
        <v>317</v>
      </c>
      <c r="G11" s="7" t="s">
        <v>318</v>
      </c>
      <c r="H11" s="7" t="s">
        <v>319</v>
      </c>
      <c r="I11" s="7" t="s">
        <v>320</v>
      </c>
      <c r="J11" s="7" t="s">
        <v>23</v>
      </c>
      <c r="K11" s="7"/>
      <c r="L11" s="7"/>
      <c r="M11" s="8"/>
      <c r="N11" s="9"/>
    </row>
  </sheetData>
  <conditionalFormatting sqref="J2:J11">
    <cfRule type="cellIs" dxfId="8" priority="1" stopIfTrue="1" operator="equal">
      <formula>"Aprobado"</formula>
    </cfRule>
    <cfRule type="cellIs" dxfId="7" priority="2" stopIfTrue="1" operator="equal">
      <formula>"Falló"</formula>
    </cfRule>
    <cfRule type="cellIs" dxfId="6" priority="3" stopIfTrue="1" operator="equal">
      <formula>"Bloqueado"</formula>
    </cfRule>
  </conditionalFormatting>
  <dataValidations count="1">
    <dataValidation type="list" allowBlank="1" showInputMessage="1" showErrorMessage="1" sqref="J2:J11" xr:uid="{71A28295-ACC2-4F90-A991-E4E8DC6F2076}">
      <mc:AlternateContent xmlns:x12ac="http://schemas.microsoft.com/office/spreadsheetml/2011/1/ac" xmlns:mc="http://schemas.openxmlformats.org/markup-compatibility/2006">
        <mc:Choice Requires="x12ac">
          <x12ac:list>"No ejecutado,Aprobado,Falló,Bloqueado,No aplica"</x12ac:list>
        </mc:Choice>
        <mc:Fallback>
          <formula1>"No ejecutado,Aprobado,Falló,Bloqueado,No aplica"</formula1>
        </mc:Fallback>
      </mc:AlternateContent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D8FC-8342-4A68-9151-88C679B9D796}">
  <dimension ref="A1:N12"/>
  <sheetViews>
    <sheetView showGridLines="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/>
    </sheetView>
  </sheetViews>
  <sheetFormatPr defaultRowHeight="14.4" x14ac:dyDescent="0.3"/>
  <cols>
    <col min="1" max="1" width="13.77734375" customWidth="1"/>
    <col min="2" max="2" width="11.77734375" customWidth="1"/>
    <col min="3" max="3" width="14.77734375" customWidth="1"/>
    <col min="4" max="4" width="30.77734375" customWidth="1"/>
    <col min="5" max="5" width="28.77734375" customWidth="1"/>
    <col min="6" max="6" width="46.77734375" customWidth="1"/>
    <col min="7" max="7" width="48.77734375" customWidth="1"/>
    <col min="8" max="8" width="42.77734375" customWidth="1"/>
    <col min="9" max="9" width="32.77734375" customWidth="1"/>
    <col min="10" max="10" width="16.77734375" customWidth="1"/>
    <col min="11" max="12" width="34.77734375" customWidth="1"/>
    <col min="13" max="13" width="13.77734375" customWidth="1"/>
    <col min="14" max="14" width="18.77734375" customWidth="1"/>
  </cols>
  <sheetData>
    <row r="1" spans="1:14" ht="31.9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</row>
    <row r="2" spans="1:14" ht="96" customHeight="1" x14ac:dyDescent="0.3">
      <c r="A2" s="12" t="s">
        <v>321</v>
      </c>
      <c r="B2" s="10" t="s">
        <v>15</v>
      </c>
      <c r="C2" s="1" t="s">
        <v>322</v>
      </c>
      <c r="D2" s="1" t="s">
        <v>323</v>
      </c>
      <c r="E2" s="1" t="s">
        <v>324</v>
      </c>
      <c r="F2" s="1" t="s">
        <v>325</v>
      </c>
      <c r="G2" s="1" t="s">
        <v>326</v>
      </c>
      <c r="H2" s="1" t="s">
        <v>327</v>
      </c>
      <c r="I2" s="1" t="s">
        <v>328</v>
      </c>
      <c r="J2" s="1" t="s">
        <v>23</v>
      </c>
      <c r="K2" s="1"/>
      <c r="L2" s="1"/>
      <c r="M2" s="2"/>
      <c r="N2" s="3"/>
    </row>
    <row r="3" spans="1:14" ht="96" customHeight="1" x14ac:dyDescent="0.3">
      <c r="A3" s="12" t="s">
        <v>329</v>
      </c>
      <c r="B3" s="10" t="s">
        <v>15</v>
      </c>
      <c r="C3" s="1" t="s">
        <v>322</v>
      </c>
      <c r="D3" s="1" t="s">
        <v>330</v>
      </c>
      <c r="E3" s="1" t="s">
        <v>324</v>
      </c>
      <c r="F3" s="1" t="s">
        <v>331</v>
      </c>
      <c r="G3" s="1" t="s">
        <v>332</v>
      </c>
      <c r="H3" s="1" t="s">
        <v>333</v>
      </c>
      <c r="I3" s="1" t="s">
        <v>334</v>
      </c>
      <c r="J3" s="1" t="s">
        <v>23</v>
      </c>
      <c r="K3" s="1"/>
      <c r="L3" s="1"/>
      <c r="M3" s="2"/>
      <c r="N3" s="3"/>
    </row>
    <row r="4" spans="1:14" ht="96" customHeight="1" x14ac:dyDescent="0.3">
      <c r="A4" s="12" t="s">
        <v>335</v>
      </c>
      <c r="B4" s="10" t="s">
        <v>38</v>
      </c>
      <c r="C4" s="1" t="s">
        <v>39</v>
      </c>
      <c r="D4" s="1" t="s">
        <v>336</v>
      </c>
      <c r="E4" s="1" t="s">
        <v>324</v>
      </c>
      <c r="F4" s="1" t="s">
        <v>337</v>
      </c>
      <c r="G4" s="1" t="s">
        <v>338</v>
      </c>
      <c r="H4" s="1" t="s">
        <v>339</v>
      </c>
      <c r="I4" s="1" t="s">
        <v>340</v>
      </c>
      <c r="J4" s="1" t="s">
        <v>23</v>
      </c>
      <c r="K4" s="1"/>
      <c r="L4" s="1"/>
      <c r="M4" s="2"/>
      <c r="N4" s="3"/>
    </row>
    <row r="5" spans="1:14" ht="96" customHeight="1" x14ac:dyDescent="0.3">
      <c r="A5" s="12" t="s">
        <v>341</v>
      </c>
      <c r="B5" s="10" t="s">
        <v>15</v>
      </c>
      <c r="C5" s="1" t="s">
        <v>322</v>
      </c>
      <c r="D5" s="1" t="s">
        <v>342</v>
      </c>
      <c r="E5" s="1" t="s">
        <v>343</v>
      </c>
      <c r="F5" s="1" t="s">
        <v>344</v>
      </c>
      <c r="G5" s="1" t="s">
        <v>345</v>
      </c>
      <c r="H5" s="1" t="s">
        <v>346</v>
      </c>
      <c r="I5" s="1" t="s">
        <v>347</v>
      </c>
      <c r="J5" s="1" t="s">
        <v>23</v>
      </c>
      <c r="K5" s="1"/>
      <c r="L5" s="1"/>
      <c r="M5" s="2"/>
      <c r="N5" s="3"/>
    </row>
    <row r="6" spans="1:14" ht="96" customHeight="1" x14ac:dyDescent="0.3">
      <c r="A6" s="12" t="s">
        <v>348</v>
      </c>
      <c r="B6" s="10" t="s">
        <v>15</v>
      </c>
      <c r="C6" s="1" t="s">
        <v>16</v>
      </c>
      <c r="D6" s="1" t="s">
        <v>349</v>
      </c>
      <c r="E6" s="1" t="s">
        <v>350</v>
      </c>
      <c r="F6" s="1" t="s">
        <v>351</v>
      </c>
      <c r="G6" s="1" t="s">
        <v>352</v>
      </c>
      <c r="H6" s="1" t="s">
        <v>353</v>
      </c>
      <c r="I6" s="1" t="s">
        <v>354</v>
      </c>
      <c r="J6" s="1" t="s">
        <v>23</v>
      </c>
      <c r="K6" s="1"/>
      <c r="L6" s="1"/>
      <c r="M6" s="2"/>
      <c r="N6" s="3"/>
    </row>
    <row r="7" spans="1:14" ht="96" customHeight="1" x14ac:dyDescent="0.3">
      <c r="A7" s="12" t="s">
        <v>355</v>
      </c>
      <c r="B7" s="10" t="s">
        <v>15</v>
      </c>
      <c r="C7" s="1" t="s">
        <v>356</v>
      </c>
      <c r="D7" s="1" t="s">
        <v>357</v>
      </c>
      <c r="E7" s="1" t="s">
        <v>358</v>
      </c>
      <c r="F7" s="1" t="s">
        <v>359</v>
      </c>
      <c r="G7" s="1" t="s">
        <v>360</v>
      </c>
      <c r="H7" s="1" t="s">
        <v>361</v>
      </c>
      <c r="I7" s="1" t="s">
        <v>362</v>
      </c>
      <c r="J7" s="1" t="s">
        <v>23</v>
      </c>
      <c r="K7" s="1"/>
      <c r="L7" s="1"/>
      <c r="M7" s="2"/>
      <c r="N7" s="3"/>
    </row>
    <row r="8" spans="1:14" ht="96" customHeight="1" x14ac:dyDescent="0.3">
      <c r="A8" s="12" t="s">
        <v>363</v>
      </c>
      <c r="B8" s="10" t="s">
        <v>38</v>
      </c>
      <c r="C8" s="1" t="s">
        <v>39</v>
      </c>
      <c r="D8" s="1" t="s">
        <v>364</v>
      </c>
      <c r="E8" s="1" t="s">
        <v>365</v>
      </c>
      <c r="F8" s="1" t="s">
        <v>366</v>
      </c>
      <c r="G8" s="1" t="s">
        <v>367</v>
      </c>
      <c r="H8" s="1" t="s">
        <v>368</v>
      </c>
      <c r="I8" s="1" t="s">
        <v>369</v>
      </c>
      <c r="J8" s="1" t="s">
        <v>23</v>
      </c>
      <c r="K8" s="1"/>
      <c r="L8" s="1"/>
      <c r="M8" s="2"/>
      <c r="N8" s="3"/>
    </row>
    <row r="9" spans="1:14" ht="96" customHeight="1" x14ac:dyDescent="0.3">
      <c r="A9" s="12" t="s">
        <v>370</v>
      </c>
      <c r="B9" s="10" t="s">
        <v>15</v>
      </c>
      <c r="C9" s="1" t="s">
        <v>371</v>
      </c>
      <c r="D9" s="1" t="s">
        <v>372</v>
      </c>
      <c r="E9" s="1" t="s">
        <v>373</v>
      </c>
      <c r="F9" s="1" t="s">
        <v>374</v>
      </c>
      <c r="G9" s="1" t="s">
        <v>375</v>
      </c>
      <c r="H9" s="1" t="s">
        <v>376</v>
      </c>
      <c r="I9" s="1" t="s">
        <v>377</v>
      </c>
      <c r="J9" s="1" t="s">
        <v>23</v>
      </c>
      <c r="K9" s="1"/>
      <c r="L9" s="1"/>
      <c r="M9" s="2"/>
      <c r="N9" s="3"/>
    </row>
    <row r="10" spans="1:14" ht="96" customHeight="1" x14ac:dyDescent="0.3">
      <c r="A10" s="12" t="s">
        <v>378</v>
      </c>
      <c r="B10" s="10" t="s">
        <v>15</v>
      </c>
      <c r="C10" s="1" t="s">
        <v>371</v>
      </c>
      <c r="D10" s="1" t="s">
        <v>379</v>
      </c>
      <c r="E10" s="1" t="s">
        <v>373</v>
      </c>
      <c r="F10" s="1" t="s">
        <v>380</v>
      </c>
      <c r="G10" s="1" t="s">
        <v>381</v>
      </c>
      <c r="H10" s="1" t="s">
        <v>382</v>
      </c>
      <c r="I10" s="1" t="s">
        <v>383</v>
      </c>
      <c r="J10" s="1" t="s">
        <v>23</v>
      </c>
      <c r="K10" s="1"/>
      <c r="L10" s="1"/>
      <c r="M10" s="2"/>
      <c r="N10" s="3"/>
    </row>
    <row r="11" spans="1:14" ht="96" customHeight="1" x14ac:dyDescent="0.3">
      <c r="A11" s="12" t="s">
        <v>384</v>
      </c>
      <c r="B11" s="10" t="s">
        <v>15</v>
      </c>
      <c r="C11" s="1" t="s">
        <v>371</v>
      </c>
      <c r="D11" s="1" t="s">
        <v>385</v>
      </c>
      <c r="E11" s="1" t="s">
        <v>386</v>
      </c>
      <c r="F11" s="1" t="s">
        <v>387</v>
      </c>
      <c r="G11" s="1" t="s">
        <v>388</v>
      </c>
      <c r="H11" s="1" t="s">
        <v>389</v>
      </c>
      <c r="I11" s="1" t="s">
        <v>390</v>
      </c>
      <c r="J11" s="1" t="s">
        <v>23</v>
      </c>
      <c r="K11" s="1"/>
      <c r="L11" s="1"/>
      <c r="M11" s="2"/>
      <c r="N11" s="3"/>
    </row>
    <row r="12" spans="1:14" ht="96" customHeight="1" x14ac:dyDescent="0.3">
      <c r="A12" s="13" t="s">
        <v>391</v>
      </c>
      <c r="B12" s="11" t="s">
        <v>38</v>
      </c>
      <c r="C12" s="7" t="s">
        <v>291</v>
      </c>
      <c r="D12" s="7" t="s">
        <v>392</v>
      </c>
      <c r="E12" s="7" t="s">
        <v>373</v>
      </c>
      <c r="F12" s="7" t="s">
        <v>393</v>
      </c>
      <c r="G12" s="7" t="s">
        <v>394</v>
      </c>
      <c r="H12" s="7" t="s">
        <v>395</v>
      </c>
      <c r="I12" s="7" t="s">
        <v>396</v>
      </c>
      <c r="J12" s="7" t="s">
        <v>23</v>
      </c>
      <c r="K12" s="7"/>
      <c r="L12" s="7"/>
      <c r="M12" s="8"/>
      <c r="N12" s="9"/>
    </row>
  </sheetData>
  <conditionalFormatting sqref="J2:J12">
    <cfRule type="cellIs" dxfId="5" priority="1" stopIfTrue="1" operator="equal">
      <formula>"Aprobado"</formula>
    </cfRule>
    <cfRule type="cellIs" dxfId="4" priority="2" stopIfTrue="1" operator="equal">
      <formula>"Falló"</formula>
    </cfRule>
    <cfRule type="cellIs" dxfId="3" priority="3" stopIfTrue="1" operator="equal">
      <formula>"Bloqueado"</formula>
    </cfRule>
  </conditionalFormatting>
  <dataValidations count="1">
    <dataValidation type="list" allowBlank="1" showInputMessage="1" showErrorMessage="1" sqref="J2:J12" xr:uid="{910B068A-A8C8-4D92-81E8-99DED955098B}">
      <mc:AlternateContent xmlns:x12ac="http://schemas.microsoft.com/office/spreadsheetml/2011/1/ac" xmlns:mc="http://schemas.openxmlformats.org/markup-compatibility/2006">
        <mc:Choice Requires="x12ac">
          <x12ac:list>"No ejecutado,Aprobado,Falló,Bloqueado,No aplica"</x12ac:list>
        </mc:Choice>
        <mc:Fallback>
          <formula1>"No ejecutado,Aprobado,Falló,Bloqueado,No aplica"</formula1>
        </mc:Fallback>
      </mc:AlternateContent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23B0D-F3A0-45B9-9407-A22E4418658A}">
  <dimension ref="A1:N12"/>
  <sheetViews>
    <sheetView showGridLines="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/>
    </sheetView>
  </sheetViews>
  <sheetFormatPr defaultRowHeight="14.4" x14ac:dyDescent="0.3"/>
  <cols>
    <col min="1" max="1" width="13.77734375" customWidth="1"/>
    <col min="2" max="2" width="11.77734375" customWidth="1"/>
    <col min="3" max="3" width="14.77734375" customWidth="1"/>
    <col min="4" max="4" width="30.77734375" customWidth="1"/>
    <col min="5" max="5" width="28.77734375" customWidth="1"/>
    <col min="6" max="6" width="46.77734375" customWidth="1"/>
    <col min="7" max="7" width="48.77734375" customWidth="1"/>
    <col min="8" max="8" width="42.77734375" customWidth="1"/>
    <col min="9" max="9" width="32.77734375" customWidth="1"/>
    <col min="10" max="10" width="16.77734375" customWidth="1"/>
    <col min="11" max="12" width="34.77734375" customWidth="1"/>
    <col min="13" max="13" width="13.77734375" customWidth="1"/>
    <col min="14" max="14" width="18.77734375" customWidth="1"/>
  </cols>
  <sheetData>
    <row r="1" spans="1:14" ht="31.9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</row>
    <row r="2" spans="1:14" ht="96" customHeight="1" x14ac:dyDescent="0.3">
      <c r="A2" s="12" t="s">
        <v>397</v>
      </c>
      <c r="B2" s="10" t="s">
        <v>15</v>
      </c>
      <c r="C2" s="1" t="s">
        <v>398</v>
      </c>
      <c r="D2" s="1" t="s">
        <v>399</v>
      </c>
      <c r="E2" s="1" t="s">
        <v>400</v>
      </c>
      <c r="F2" s="1" t="s">
        <v>401</v>
      </c>
      <c r="G2" s="1" t="s">
        <v>402</v>
      </c>
      <c r="H2" s="1" t="s">
        <v>403</v>
      </c>
      <c r="I2" s="1" t="s">
        <v>404</v>
      </c>
      <c r="J2" s="1" t="s">
        <v>23</v>
      </c>
      <c r="K2" s="1"/>
      <c r="L2" s="1"/>
      <c r="M2" s="2"/>
      <c r="N2" s="3"/>
    </row>
    <row r="3" spans="1:14" ht="96" customHeight="1" x14ac:dyDescent="0.3">
      <c r="A3" s="12" t="s">
        <v>405</v>
      </c>
      <c r="B3" s="10" t="s">
        <v>15</v>
      </c>
      <c r="C3" s="1" t="s">
        <v>398</v>
      </c>
      <c r="D3" s="1" t="s">
        <v>406</v>
      </c>
      <c r="E3" s="1" t="s">
        <v>407</v>
      </c>
      <c r="F3" s="1" t="s">
        <v>408</v>
      </c>
      <c r="G3" s="1" t="s">
        <v>409</v>
      </c>
      <c r="H3" s="1" t="s">
        <v>410</v>
      </c>
      <c r="I3" s="1" t="s">
        <v>411</v>
      </c>
      <c r="J3" s="1" t="s">
        <v>23</v>
      </c>
      <c r="K3" s="1"/>
      <c r="L3" s="1"/>
      <c r="M3" s="2"/>
      <c r="N3" s="3"/>
    </row>
    <row r="4" spans="1:14" ht="96" customHeight="1" x14ac:dyDescent="0.3">
      <c r="A4" s="12" t="s">
        <v>412</v>
      </c>
      <c r="B4" s="10" t="s">
        <v>15</v>
      </c>
      <c r="C4" s="1" t="s">
        <v>398</v>
      </c>
      <c r="D4" s="1" t="s">
        <v>413</v>
      </c>
      <c r="E4" s="1" t="s">
        <v>220</v>
      </c>
      <c r="F4" s="1" t="s">
        <v>414</v>
      </c>
      <c r="G4" s="1" t="s">
        <v>415</v>
      </c>
      <c r="H4" s="1" t="s">
        <v>416</v>
      </c>
      <c r="I4" s="1" t="s">
        <v>417</v>
      </c>
      <c r="J4" s="1" t="s">
        <v>23</v>
      </c>
      <c r="K4" s="1"/>
      <c r="L4" s="1"/>
      <c r="M4" s="2"/>
      <c r="N4" s="3"/>
    </row>
    <row r="5" spans="1:14" ht="96" customHeight="1" x14ac:dyDescent="0.3">
      <c r="A5" s="12" t="s">
        <v>418</v>
      </c>
      <c r="B5" s="10" t="s">
        <v>38</v>
      </c>
      <c r="C5" s="1" t="s">
        <v>398</v>
      </c>
      <c r="D5" s="1" t="s">
        <v>419</v>
      </c>
      <c r="E5" s="1" t="s">
        <v>420</v>
      </c>
      <c r="F5" s="1" t="s">
        <v>408</v>
      </c>
      <c r="G5" s="1" t="s">
        <v>421</v>
      </c>
      <c r="H5" s="1" t="s">
        <v>422</v>
      </c>
      <c r="I5" s="1" t="s">
        <v>423</v>
      </c>
      <c r="J5" s="1" t="s">
        <v>23</v>
      </c>
      <c r="K5" s="1"/>
      <c r="L5" s="1"/>
      <c r="M5" s="2"/>
      <c r="N5" s="3"/>
    </row>
    <row r="6" spans="1:14" ht="96" customHeight="1" x14ac:dyDescent="0.3">
      <c r="A6" s="12" t="s">
        <v>424</v>
      </c>
      <c r="B6" s="10" t="s">
        <v>15</v>
      </c>
      <c r="C6" s="1" t="s">
        <v>425</v>
      </c>
      <c r="D6" s="1" t="s">
        <v>426</v>
      </c>
      <c r="E6" s="1" t="s">
        <v>427</v>
      </c>
      <c r="F6" s="1" t="s">
        <v>428</v>
      </c>
      <c r="G6" s="1" t="s">
        <v>429</v>
      </c>
      <c r="H6" s="1" t="s">
        <v>430</v>
      </c>
      <c r="I6" s="1" t="s">
        <v>431</v>
      </c>
      <c r="J6" s="1" t="s">
        <v>23</v>
      </c>
      <c r="K6" s="1"/>
      <c r="L6" s="1"/>
      <c r="M6" s="2"/>
      <c r="N6" s="3"/>
    </row>
    <row r="7" spans="1:14" ht="96" customHeight="1" x14ac:dyDescent="0.3">
      <c r="A7" s="12" t="s">
        <v>432</v>
      </c>
      <c r="B7" s="10" t="s">
        <v>38</v>
      </c>
      <c r="C7" s="1" t="s">
        <v>425</v>
      </c>
      <c r="D7" s="1" t="s">
        <v>433</v>
      </c>
      <c r="E7" s="1" t="s">
        <v>434</v>
      </c>
      <c r="F7" s="1" t="s">
        <v>435</v>
      </c>
      <c r="G7" s="1" t="s">
        <v>436</v>
      </c>
      <c r="H7" s="1" t="s">
        <v>437</v>
      </c>
      <c r="I7" s="1" t="s">
        <v>438</v>
      </c>
      <c r="J7" s="1" t="s">
        <v>23</v>
      </c>
      <c r="K7" s="1"/>
      <c r="L7" s="1"/>
      <c r="M7" s="2"/>
      <c r="N7" s="3"/>
    </row>
    <row r="8" spans="1:14" ht="96" customHeight="1" x14ac:dyDescent="0.3">
      <c r="A8" s="12" t="s">
        <v>439</v>
      </c>
      <c r="B8" s="10" t="s">
        <v>15</v>
      </c>
      <c r="C8" s="1" t="s">
        <v>440</v>
      </c>
      <c r="D8" s="1" t="s">
        <v>441</v>
      </c>
      <c r="E8" s="1" t="s">
        <v>442</v>
      </c>
      <c r="F8" s="1" t="s">
        <v>443</v>
      </c>
      <c r="G8" s="1" t="s">
        <v>444</v>
      </c>
      <c r="H8" s="1" t="s">
        <v>445</v>
      </c>
      <c r="I8" s="1" t="s">
        <v>446</v>
      </c>
      <c r="J8" s="1" t="s">
        <v>23</v>
      </c>
      <c r="K8" s="1"/>
      <c r="L8" s="1"/>
      <c r="M8" s="2"/>
      <c r="N8" s="3"/>
    </row>
    <row r="9" spans="1:14" ht="96" customHeight="1" x14ac:dyDescent="0.3">
      <c r="A9" s="12" t="s">
        <v>447</v>
      </c>
      <c r="B9" s="10" t="s">
        <v>15</v>
      </c>
      <c r="C9" s="1" t="s">
        <v>440</v>
      </c>
      <c r="D9" s="1" t="s">
        <v>448</v>
      </c>
      <c r="E9" s="1" t="s">
        <v>449</v>
      </c>
      <c r="F9" s="1" t="s">
        <v>450</v>
      </c>
      <c r="G9" s="1" t="s">
        <v>451</v>
      </c>
      <c r="H9" s="1" t="s">
        <v>452</v>
      </c>
      <c r="I9" s="1" t="s">
        <v>453</v>
      </c>
      <c r="J9" s="1" t="s">
        <v>23</v>
      </c>
      <c r="K9" s="1"/>
      <c r="L9" s="1"/>
      <c r="M9" s="2"/>
      <c r="N9" s="3"/>
    </row>
    <row r="10" spans="1:14" ht="96" customHeight="1" x14ac:dyDescent="0.3">
      <c r="A10" s="12" t="s">
        <v>454</v>
      </c>
      <c r="B10" s="10" t="s">
        <v>38</v>
      </c>
      <c r="C10" s="1" t="s">
        <v>455</v>
      </c>
      <c r="D10" s="1" t="s">
        <v>456</v>
      </c>
      <c r="E10" s="1" t="s">
        <v>457</v>
      </c>
      <c r="F10" s="1" t="s">
        <v>458</v>
      </c>
      <c r="G10" s="1" t="s">
        <v>459</v>
      </c>
      <c r="H10" s="1" t="s">
        <v>460</v>
      </c>
      <c r="I10" s="1" t="s">
        <v>461</v>
      </c>
      <c r="J10" s="1" t="s">
        <v>23</v>
      </c>
      <c r="K10" s="1"/>
      <c r="L10" s="1"/>
      <c r="M10" s="2"/>
      <c r="N10" s="3"/>
    </row>
    <row r="11" spans="1:14" ht="96" customHeight="1" x14ac:dyDescent="0.3">
      <c r="A11" s="13" t="s">
        <v>462</v>
      </c>
      <c r="B11" s="11" t="s">
        <v>38</v>
      </c>
      <c r="C11" s="7" t="s">
        <v>463</v>
      </c>
      <c r="D11" s="7" t="s">
        <v>464</v>
      </c>
      <c r="E11" s="7" t="s">
        <v>465</v>
      </c>
      <c r="F11" s="7" t="s">
        <v>466</v>
      </c>
      <c r="G11" s="7" t="s">
        <v>467</v>
      </c>
      <c r="H11" s="7" t="s">
        <v>468</v>
      </c>
      <c r="I11" s="7" t="s">
        <v>469</v>
      </c>
      <c r="J11" s="7" t="s">
        <v>23</v>
      </c>
      <c r="K11" s="7"/>
      <c r="L11" s="7"/>
      <c r="M11" s="8"/>
      <c r="N11" s="9"/>
    </row>
    <row r="12" spans="1:14" ht="41.4" x14ac:dyDescent="0.3">
      <c r="A12" s="33" t="s">
        <v>636</v>
      </c>
      <c r="B12" s="34" t="s">
        <v>15</v>
      </c>
      <c r="C12" s="35" t="s">
        <v>398</v>
      </c>
      <c r="D12" s="36" t="s">
        <v>637</v>
      </c>
      <c r="E12" s="36" t="s">
        <v>638</v>
      </c>
      <c r="F12" s="36" t="s">
        <v>639</v>
      </c>
      <c r="G12" s="36" t="s">
        <v>640</v>
      </c>
      <c r="H12" s="36" t="s">
        <v>641</v>
      </c>
      <c r="I12" s="36" t="s">
        <v>642</v>
      </c>
      <c r="J12" s="36" t="s">
        <v>23</v>
      </c>
      <c r="K12" s="36"/>
      <c r="L12" s="36"/>
      <c r="M12" s="37"/>
      <c r="N12" s="38"/>
    </row>
  </sheetData>
  <conditionalFormatting sqref="J2:J12">
    <cfRule type="cellIs" dxfId="2" priority="1" stopIfTrue="1" operator="equal">
      <formula>"Aprobado"</formula>
    </cfRule>
    <cfRule type="cellIs" dxfId="1" priority="2" stopIfTrue="1" operator="equal">
      <formula>"Falló"</formula>
    </cfRule>
    <cfRule type="cellIs" dxfId="0" priority="3" stopIfTrue="1" operator="equal">
      <formula>"Bloqueado"</formula>
    </cfRule>
  </conditionalFormatting>
  <dataValidations count="1">
    <dataValidation type="list" allowBlank="1" showInputMessage="1" showErrorMessage="1" sqref="J2:J12" xr:uid="{6E1571A6-345D-4008-902F-ACC5B97D1940}">
      <mc:AlternateContent xmlns:x12ac="http://schemas.microsoft.com/office/spreadsheetml/2011/1/ac" xmlns:mc="http://schemas.openxmlformats.org/markup-compatibility/2006">
        <mc:Choice Requires="x12ac">
          <x12ac:list>"No ejecutado,Aprobado,Falló,Bloqueado,No aplica"</x12ac:list>
        </mc:Choice>
        <mc:Fallback>
          <formula1>"No ejecutado,Aprobado,Falló,Bloqueado,No aplica"</formula1>
        </mc:Fallback>
      </mc:AlternateContent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B9702-76BD-43B5-AC36-009C0B9EFD78}">
  <dimension ref="A1:E21"/>
  <sheetViews>
    <sheetView showGridLines="0" tabSelected="1" workbookViewId="0">
      <pane xSplit="1" ySplit="3" topLeftCell="B4" activePane="bottomRight" state="frozenSplit"/>
      <selection pane="topRight" activeCell="B1" sqref="B1"/>
      <selection pane="bottomLeft" activeCell="A4" sqref="A4"/>
      <selection pane="bottomRight" sqref="A1:E1"/>
    </sheetView>
  </sheetViews>
  <sheetFormatPr defaultRowHeight="14.4" x14ac:dyDescent="0.3"/>
  <cols>
    <col min="1" max="1" width="28.77734375" customWidth="1"/>
    <col min="2" max="3" width="48.77734375" customWidth="1"/>
    <col min="4" max="4" width="58.77734375" customWidth="1"/>
    <col min="5" max="5" width="34.77734375" customWidth="1"/>
  </cols>
  <sheetData>
    <row r="1" spans="1:5" ht="36" customHeight="1" x14ac:dyDescent="0.45">
      <c r="A1" s="27" t="s">
        <v>470</v>
      </c>
      <c r="B1" s="27"/>
      <c r="C1" s="27"/>
      <c r="D1" s="27"/>
      <c r="E1" s="27"/>
    </row>
    <row r="3" spans="1:5" x14ac:dyDescent="0.3">
      <c r="A3" s="17" t="s">
        <v>471</v>
      </c>
      <c r="B3" s="18" t="s">
        <v>587</v>
      </c>
      <c r="C3" s="18" t="s">
        <v>588</v>
      </c>
      <c r="D3" s="18" t="s">
        <v>472</v>
      </c>
      <c r="E3" s="19" t="s">
        <v>473</v>
      </c>
    </row>
    <row r="4" spans="1:5" ht="72" customHeight="1" x14ac:dyDescent="0.3">
      <c r="A4" s="15" t="s">
        <v>474</v>
      </c>
      <c r="B4" s="14" t="s">
        <v>475</v>
      </c>
      <c r="C4" s="14" t="s">
        <v>476</v>
      </c>
      <c r="D4" s="14" t="s">
        <v>477</v>
      </c>
      <c r="E4" s="16" t="s">
        <v>478</v>
      </c>
    </row>
    <row r="5" spans="1:5" ht="72" customHeight="1" x14ac:dyDescent="0.3">
      <c r="A5" s="15" t="s">
        <v>479</v>
      </c>
      <c r="B5" s="14" t="s">
        <v>480</v>
      </c>
      <c r="C5" s="14" t="s">
        <v>481</v>
      </c>
      <c r="D5" s="14" t="s">
        <v>482</v>
      </c>
      <c r="E5" s="16" t="s">
        <v>589</v>
      </c>
    </row>
    <row r="6" spans="1:5" ht="72" customHeight="1" x14ac:dyDescent="0.3">
      <c r="A6" s="15" t="s">
        <v>483</v>
      </c>
      <c r="B6" s="14" t="s">
        <v>590</v>
      </c>
      <c r="C6" s="14" t="s">
        <v>591</v>
      </c>
      <c r="D6" s="32">
        <v>46151.378472222219</v>
      </c>
      <c r="E6" s="16" t="s">
        <v>592</v>
      </c>
    </row>
    <row r="7" spans="1:5" ht="72" customHeight="1" x14ac:dyDescent="0.3">
      <c r="A7" s="15" t="s">
        <v>484</v>
      </c>
      <c r="B7" s="14" t="s">
        <v>485</v>
      </c>
      <c r="C7" s="14" t="s">
        <v>486</v>
      </c>
      <c r="D7" s="14" t="s">
        <v>487</v>
      </c>
      <c r="E7" s="16" t="s">
        <v>478</v>
      </c>
    </row>
    <row r="8" spans="1:5" ht="72" customHeight="1" x14ac:dyDescent="0.3">
      <c r="A8" s="15" t="s">
        <v>488</v>
      </c>
      <c r="B8" s="14" t="s">
        <v>489</v>
      </c>
      <c r="C8" s="14" t="s">
        <v>490</v>
      </c>
      <c r="D8" s="14" t="s">
        <v>491</v>
      </c>
      <c r="E8" s="16" t="s">
        <v>478</v>
      </c>
    </row>
    <row r="9" spans="1:5" ht="72" customHeight="1" x14ac:dyDescent="0.3">
      <c r="A9" s="15" t="s">
        <v>492</v>
      </c>
      <c r="B9" s="14" t="s">
        <v>493</v>
      </c>
      <c r="C9" s="14" t="s">
        <v>494</v>
      </c>
      <c r="D9" s="14" t="s">
        <v>495</v>
      </c>
      <c r="E9" s="16" t="s">
        <v>496</v>
      </c>
    </row>
    <row r="10" spans="1:5" ht="72" customHeight="1" x14ac:dyDescent="0.3">
      <c r="A10" s="15" t="s">
        <v>497</v>
      </c>
      <c r="B10" s="14" t="s">
        <v>498</v>
      </c>
      <c r="C10" s="14" t="s">
        <v>499</v>
      </c>
      <c r="D10" s="14" t="s">
        <v>500</v>
      </c>
      <c r="E10" s="16" t="s">
        <v>478</v>
      </c>
    </row>
    <row r="11" spans="1:5" ht="72" customHeight="1" x14ac:dyDescent="0.3">
      <c r="A11" s="15" t="s">
        <v>501</v>
      </c>
      <c r="B11" s="14" t="s">
        <v>502</v>
      </c>
      <c r="C11" s="14" t="s">
        <v>503</v>
      </c>
      <c r="D11" s="14" t="s">
        <v>504</v>
      </c>
      <c r="E11" s="16" t="s">
        <v>505</v>
      </c>
    </row>
    <row r="12" spans="1:5" ht="72" customHeight="1" x14ac:dyDescent="0.3">
      <c r="A12" s="15" t="s">
        <v>506</v>
      </c>
      <c r="B12" s="14" t="s">
        <v>507</v>
      </c>
      <c r="C12" s="14" t="s">
        <v>508</v>
      </c>
      <c r="D12" s="14" t="s">
        <v>509</v>
      </c>
      <c r="E12" s="16" t="s">
        <v>510</v>
      </c>
    </row>
    <row r="13" spans="1:5" ht="72" customHeight="1" x14ac:dyDescent="0.3">
      <c r="A13" s="15" t="s">
        <v>511</v>
      </c>
      <c r="B13" s="14" t="s">
        <v>512</v>
      </c>
      <c r="C13" s="14" t="s">
        <v>513</v>
      </c>
      <c r="D13" s="14" t="s">
        <v>514</v>
      </c>
      <c r="E13" s="16" t="s">
        <v>593</v>
      </c>
    </row>
    <row r="14" spans="1:5" ht="72" customHeight="1" x14ac:dyDescent="0.3">
      <c r="A14" s="15" t="s">
        <v>515</v>
      </c>
      <c r="B14" s="14" t="s">
        <v>516</v>
      </c>
      <c r="C14" s="14" t="s">
        <v>517</v>
      </c>
      <c r="D14" s="14" t="s">
        <v>518</v>
      </c>
      <c r="E14" s="16" t="s">
        <v>519</v>
      </c>
    </row>
    <row r="15" spans="1:5" ht="72" customHeight="1" x14ac:dyDescent="0.3">
      <c r="A15" s="15" t="s">
        <v>520</v>
      </c>
      <c r="B15" s="14" t="s">
        <v>521</v>
      </c>
      <c r="C15" s="14" t="s">
        <v>522</v>
      </c>
      <c r="D15" s="14" t="s">
        <v>523</v>
      </c>
      <c r="E15" s="16" t="s">
        <v>524</v>
      </c>
    </row>
    <row r="16" spans="1:5" ht="72" customHeight="1" x14ac:dyDescent="0.3">
      <c r="A16" s="15" t="s">
        <v>525</v>
      </c>
      <c r="B16" s="14" t="s">
        <v>526</v>
      </c>
      <c r="C16" s="14" t="s">
        <v>527</v>
      </c>
      <c r="D16" s="14" t="s">
        <v>528</v>
      </c>
      <c r="E16" s="16" t="s">
        <v>529</v>
      </c>
    </row>
    <row r="17" spans="1:5" ht="72" customHeight="1" x14ac:dyDescent="0.3">
      <c r="A17" s="15" t="s">
        <v>530</v>
      </c>
      <c r="B17" s="14" t="s">
        <v>531</v>
      </c>
      <c r="C17" s="14" t="s">
        <v>532</v>
      </c>
      <c r="D17" s="14" t="s">
        <v>533</v>
      </c>
      <c r="E17" s="16"/>
    </row>
    <row r="18" spans="1:5" ht="72" customHeight="1" x14ac:dyDescent="0.3">
      <c r="A18" s="15" t="s">
        <v>534</v>
      </c>
      <c r="B18" s="14" t="s">
        <v>535</v>
      </c>
      <c r="C18" s="14" t="s">
        <v>536</v>
      </c>
      <c r="D18" s="14" t="s">
        <v>537</v>
      </c>
      <c r="E18" s="16"/>
    </row>
    <row r="19" spans="1:5" ht="72" customHeight="1" x14ac:dyDescent="0.3">
      <c r="A19" s="15" t="s">
        <v>538</v>
      </c>
      <c r="B19" s="14"/>
      <c r="C19" s="14"/>
      <c r="D19" s="14" t="s">
        <v>539</v>
      </c>
      <c r="E19" s="16" t="s">
        <v>540</v>
      </c>
    </row>
    <row r="20" spans="1:5" ht="72" customHeight="1" x14ac:dyDescent="0.3">
      <c r="A20" s="15" t="s">
        <v>541</v>
      </c>
      <c r="B20" s="14"/>
      <c r="C20" s="14"/>
      <c r="D20" s="14" t="s">
        <v>542</v>
      </c>
      <c r="E20" s="16" t="s">
        <v>540</v>
      </c>
    </row>
    <row r="21" spans="1:5" ht="72" customHeight="1" x14ac:dyDescent="0.3">
      <c r="A21" s="20" t="s">
        <v>543</v>
      </c>
      <c r="B21" s="21"/>
      <c r="C21" s="21"/>
      <c r="D21" s="21" t="s">
        <v>544</v>
      </c>
      <c r="E21" s="22" t="s">
        <v>545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 y resumen</vt:lpstr>
      <vt:lpstr>Acceso y sesión</vt:lpstr>
      <vt:lpstr>Gestión de remates</vt:lpstr>
      <vt:lpstr>Catálogo y lotes</vt:lpstr>
      <vt:lpstr>Web pública</vt:lpstr>
      <vt:lpstr>Contenido y contacto</vt:lpstr>
      <vt:lpstr>Mobile y accesibilidad</vt:lpstr>
      <vt:lpstr>Datos de 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caffaro</dc:creator>
  <cp:lastModifiedBy>jose caffaro</cp:lastModifiedBy>
  <dcterms:created xsi:type="dcterms:W3CDTF">2026-07-30T23:21:37Z</dcterms:created>
  <dcterms:modified xsi:type="dcterms:W3CDTF">2026-08-05T01:42:28Z</dcterms:modified>
</cp:coreProperties>
</file>